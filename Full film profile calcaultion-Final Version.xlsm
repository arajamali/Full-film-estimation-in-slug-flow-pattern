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yas\Desktop\My Reserach\Two Phase Flow\"/>
    </mc:Choice>
  </mc:AlternateContent>
  <bookViews>
    <workbookView xWindow="0" yWindow="0" windowWidth="23040" windowHeight="9084" tabRatio="786" activeTab="1"/>
  </bookViews>
  <sheets>
    <sheet name="Macro2" sheetId="25" r:id="rId1"/>
    <sheet name="2 10 5 deg" sheetId="15" r:id="rId2"/>
    <sheet name="V_SG_3_V_SL_1" sheetId="20" r:id="rId3"/>
    <sheet name="V_SG_1_V_SL_1" sheetId="21" r:id="rId4"/>
    <sheet name="V_SG_1_V_SL_1_1cP" sheetId="23" r:id="rId5"/>
    <sheet name="Combined" sheetId="2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6" i="15" l="1"/>
  <c r="G47" i="15" s="1"/>
  <c r="G46" i="20"/>
  <c r="G35" i="15"/>
  <c r="G28" i="15"/>
  <c r="S30" i="15"/>
  <c r="G17" i="15" l="1"/>
  <c r="G12" i="15"/>
  <c r="G13" i="15"/>
  <c r="S145" i="15"/>
  <c r="S131" i="15"/>
  <c r="S134" i="15" s="1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30" i="15"/>
  <c r="T131" i="15" s="1"/>
  <c r="T129" i="15"/>
  <c r="S114" i="15"/>
  <c r="S123" i="15" s="1"/>
  <c r="T128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15" i="15"/>
  <c r="T114" i="15"/>
  <c r="T113" i="15"/>
  <c r="T105" i="15"/>
  <c r="T98" i="15"/>
  <c r="T96" i="15"/>
  <c r="T97" i="15"/>
  <c r="T107" i="15"/>
  <c r="T101" i="15"/>
  <c r="T99" i="15"/>
  <c r="T100" i="15"/>
  <c r="T102" i="15"/>
  <c r="T103" i="15"/>
  <c r="T104" i="15"/>
  <c r="T106" i="15"/>
  <c r="T108" i="15"/>
  <c r="T109" i="15"/>
  <c r="T110" i="15"/>
  <c r="T111" i="15"/>
  <c r="T112" i="15"/>
  <c r="S63" i="15"/>
  <c r="S77" i="15" s="1"/>
  <c r="S78" i="15" s="1"/>
  <c r="T78" i="15"/>
  <c r="T79" i="15"/>
  <c r="T77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63" i="15"/>
  <c r="T62" i="15"/>
  <c r="S120" i="15" l="1"/>
  <c r="S116" i="15"/>
  <c r="S121" i="15"/>
  <c r="S141" i="15"/>
  <c r="S128" i="15"/>
  <c r="S137" i="15"/>
  <c r="S127" i="15"/>
  <c r="S133" i="15"/>
  <c r="S140" i="15"/>
  <c r="S117" i="15"/>
  <c r="S118" i="15"/>
  <c r="S122" i="15"/>
  <c r="S132" i="15"/>
  <c r="S143" i="15"/>
  <c r="S139" i="15"/>
  <c r="S135" i="15"/>
  <c r="S144" i="15"/>
  <c r="S136" i="15"/>
  <c r="S68" i="15"/>
  <c r="S129" i="15"/>
  <c r="S119" i="15"/>
  <c r="S146" i="15"/>
  <c r="S142" i="15"/>
  <c r="S138" i="15"/>
  <c r="S65" i="15"/>
  <c r="S72" i="15"/>
  <c r="S75" i="15"/>
  <c r="S73" i="15"/>
  <c r="S69" i="15"/>
  <c r="S115" i="15"/>
  <c r="S126" i="15"/>
  <c r="S125" i="15"/>
  <c r="S124" i="15"/>
  <c r="S71" i="15"/>
  <c r="S67" i="15"/>
  <c r="S74" i="15"/>
  <c r="S64" i="15"/>
  <c r="S70" i="15"/>
  <c r="S66" i="15"/>
  <c r="S76" i="15"/>
  <c r="G18" i="15"/>
  <c r="V42" i="15"/>
  <c r="S79" i="15" s="1"/>
  <c r="S94" i="15" s="1"/>
  <c r="S86" i="15" l="1"/>
  <c r="S84" i="15"/>
  <c r="S90" i="15"/>
  <c r="S83" i="15"/>
  <c r="S85" i="15"/>
  <c r="S91" i="15"/>
  <c r="S80" i="15"/>
  <c r="S95" i="15"/>
  <c r="S81" i="15"/>
  <c r="S87" i="15"/>
  <c r="S92" i="15"/>
  <c r="S89" i="15"/>
  <c r="S82" i="15"/>
  <c r="S88" i="15"/>
  <c r="S93" i="15"/>
  <c r="S29" i="15"/>
  <c r="S24" i="15"/>
  <c r="S25" i="15"/>
  <c r="S26" i="15"/>
  <c r="S27" i="15"/>
  <c r="S28" i="15"/>
  <c r="G35" i="20"/>
  <c r="T30" i="15"/>
  <c r="T29" i="15"/>
  <c r="T28" i="15"/>
  <c r="T27" i="15"/>
  <c r="T26" i="15"/>
  <c r="T25" i="15"/>
  <c r="T24" i="15"/>
  <c r="AW56" i="15" l="1"/>
  <c r="AW59" i="15"/>
  <c r="AW57" i="15"/>
  <c r="AW54" i="15"/>
  <c r="AW55" i="15"/>
  <c r="AW58" i="15"/>
  <c r="AW53" i="15"/>
  <c r="S97" i="15"/>
  <c r="S112" i="15" s="1"/>
  <c r="S96" i="15"/>
  <c r="E93" i="15"/>
  <c r="S15" i="15"/>
  <c r="AB15" i="15" s="1"/>
  <c r="I43" i="15"/>
  <c r="S16" i="15"/>
  <c r="S17" i="15"/>
  <c r="S18" i="15"/>
  <c r="S19" i="15"/>
  <c r="S20" i="15"/>
  <c r="S21" i="15"/>
  <c r="S22" i="15"/>
  <c r="S23" i="15"/>
  <c r="T15" i="15"/>
  <c r="AW44" i="15" l="1"/>
  <c r="S102" i="15"/>
  <c r="S107" i="15"/>
  <c r="S111" i="15"/>
  <c r="S101" i="15"/>
  <c r="S98" i="15"/>
  <c r="S105" i="15"/>
  <c r="S99" i="15"/>
  <c r="S103" i="15"/>
  <c r="S108" i="15"/>
  <c r="S106" i="15"/>
  <c r="S100" i="15"/>
  <c r="S104" i="15"/>
  <c r="S109" i="15"/>
  <c r="S110" i="15"/>
  <c r="AC15" i="15"/>
  <c r="W15" i="15"/>
  <c r="AA15" i="15"/>
  <c r="X15" i="15"/>
  <c r="AD15" i="15" l="1"/>
  <c r="AE15" i="15" s="1"/>
  <c r="Y15" i="15"/>
  <c r="Z15" i="15" s="1"/>
  <c r="AB22" i="15" l="1"/>
  <c r="G7" i="15"/>
  <c r="T22" i="15"/>
  <c r="AW51" i="15" l="1"/>
  <c r="W22" i="15"/>
  <c r="AC22" i="15"/>
  <c r="AA22" i="15"/>
  <c r="X22" i="15"/>
  <c r="AB23" i="15"/>
  <c r="AB21" i="15"/>
  <c r="AB19" i="15"/>
  <c r="AA18" i="15"/>
  <c r="AB17" i="15"/>
  <c r="C148" i="15"/>
  <c r="D148" i="15"/>
  <c r="T23" i="15"/>
  <c r="T21" i="15"/>
  <c r="T20" i="15"/>
  <c r="T19" i="15"/>
  <c r="T18" i="15"/>
  <c r="T17" i="15"/>
  <c r="T16" i="15"/>
  <c r="AW46" i="15" l="1"/>
  <c r="AW49" i="15"/>
  <c r="AW50" i="15"/>
  <c r="AW47" i="15"/>
  <c r="AW48" i="15"/>
  <c r="AW52" i="15"/>
  <c r="AW45" i="15"/>
  <c r="Y22" i="15"/>
  <c r="Z22" i="15" s="1"/>
  <c r="AD22" i="15"/>
  <c r="AE22" i="15" s="1"/>
  <c r="AC21" i="15"/>
  <c r="AC17" i="15"/>
  <c r="AC19" i="15"/>
  <c r="AB20" i="15"/>
  <c r="AC20" i="15"/>
  <c r="X20" i="15"/>
  <c r="W20" i="15"/>
  <c r="X18" i="15"/>
  <c r="AC18" i="15"/>
  <c r="AB18" i="15"/>
  <c r="AA20" i="15"/>
  <c r="X16" i="15"/>
  <c r="AC16" i="15"/>
  <c r="AB16" i="15"/>
  <c r="W16" i="15"/>
  <c r="AA16" i="15"/>
  <c r="W18" i="15"/>
  <c r="AA23" i="15"/>
  <c r="W17" i="15"/>
  <c r="W19" i="15"/>
  <c r="AA19" i="15"/>
  <c r="W21" i="15"/>
  <c r="AA21" i="15"/>
  <c r="AC23" i="15"/>
  <c r="W23" i="15"/>
  <c r="X23" i="15"/>
  <c r="AA17" i="15"/>
  <c r="X17" i="15"/>
  <c r="X19" i="15"/>
  <c r="X21" i="15"/>
  <c r="C155" i="15"/>
  <c r="G155" i="15" s="1"/>
  <c r="C154" i="15"/>
  <c r="G154" i="15" s="1"/>
  <c r="C153" i="15"/>
  <c r="G153" i="15" s="1"/>
  <c r="C152" i="15"/>
  <c r="G152" i="15" s="1"/>
  <c r="C151" i="15"/>
  <c r="G151" i="15" s="1"/>
  <c r="C150" i="15"/>
  <c r="G150" i="15" s="1"/>
  <c r="C149" i="15"/>
  <c r="G149" i="15" s="1"/>
  <c r="B97" i="15"/>
  <c r="D154" i="15"/>
  <c r="D155" i="15"/>
  <c r="D150" i="15"/>
  <c r="D152" i="15"/>
  <c r="D151" i="15"/>
  <c r="D149" i="15"/>
  <c r="D153" i="15"/>
  <c r="L31" i="23"/>
  <c r="AD21" i="15" l="1"/>
  <c r="AE21" i="15" s="1"/>
  <c r="AD17" i="15"/>
  <c r="AE17" i="15" s="1"/>
  <c r="Y19" i="15"/>
  <c r="Z19" i="15" s="1"/>
  <c r="Y18" i="15"/>
  <c r="Z18" i="15" s="1"/>
  <c r="Y16" i="15"/>
  <c r="Z16" i="15" s="1"/>
  <c r="Y23" i="15"/>
  <c r="Z23" i="15" s="1"/>
  <c r="AD19" i="15"/>
  <c r="AE19" i="15" s="1"/>
  <c r="AD23" i="15"/>
  <c r="AE23" i="15" s="1"/>
  <c r="AD18" i="15"/>
  <c r="AE18" i="15" s="1"/>
  <c r="Y17" i="15"/>
  <c r="Z17" i="15" s="1"/>
  <c r="AD16" i="15"/>
  <c r="AE16" i="15" s="1"/>
  <c r="Y21" i="15"/>
  <c r="Z21" i="15" s="1"/>
  <c r="AD20" i="15"/>
  <c r="AE20" i="15" s="1"/>
  <c r="Y20" i="15"/>
  <c r="Z20" i="15" s="1"/>
  <c r="G148" i="15"/>
  <c r="Y56" i="23"/>
  <c r="AB56" i="23" s="1"/>
  <c r="Z75" i="23" l="1"/>
  <c r="Z93" i="23" s="1"/>
  <c r="Z111" i="23" s="1"/>
  <c r="Z129" i="23" s="1"/>
  <c r="Z147" i="23" s="1"/>
  <c r="Z165" i="23" s="1"/>
  <c r="Z183" i="23" s="1"/>
  <c r="Z201" i="23" s="1"/>
  <c r="Z219" i="23" s="1"/>
  <c r="Z237" i="23" s="1"/>
  <c r="Z255" i="23" s="1"/>
  <c r="Z273" i="23" s="1"/>
  <c r="Z291" i="23" s="1"/>
  <c r="Z309" i="23" s="1"/>
  <c r="Z327" i="23" s="1"/>
  <c r="Z345" i="23" s="1"/>
  <c r="Z363" i="23" s="1"/>
  <c r="Z381" i="23" s="1"/>
  <c r="Z399" i="23" s="1"/>
  <c r="Z76" i="23"/>
  <c r="Z94" i="23" s="1"/>
  <c r="Z112" i="23" s="1"/>
  <c r="Z130" i="23" s="1"/>
  <c r="Z148" i="23" s="1"/>
  <c r="Z166" i="23" s="1"/>
  <c r="Z184" i="23" s="1"/>
  <c r="Z202" i="23" s="1"/>
  <c r="Z220" i="23" s="1"/>
  <c r="Z238" i="23" s="1"/>
  <c r="Z256" i="23" s="1"/>
  <c r="Z274" i="23" s="1"/>
  <c r="Z292" i="23" s="1"/>
  <c r="Z310" i="23" s="1"/>
  <c r="Z328" i="23" s="1"/>
  <c r="Z346" i="23" s="1"/>
  <c r="Z364" i="23" s="1"/>
  <c r="Z382" i="23" s="1"/>
  <c r="Z400" i="23" s="1"/>
  <c r="Z418" i="23" s="1"/>
  <c r="Z436" i="23" s="1"/>
  <c r="Z454" i="23" s="1"/>
  <c r="Z472" i="23" s="1"/>
  <c r="Z490" i="23" s="1"/>
  <c r="Z508" i="23" s="1"/>
  <c r="Z526" i="23" s="1"/>
  <c r="Z544" i="23" s="1"/>
  <c r="Z562" i="23" s="1"/>
  <c r="Z580" i="23" s="1"/>
  <c r="Z598" i="23" s="1"/>
  <c r="Z616" i="23" s="1"/>
  <c r="Z634" i="23" s="1"/>
  <c r="Z652" i="23" s="1"/>
  <c r="Z670" i="23" s="1"/>
  <c r="Z688" i="23" s="1"/>
  <c r="Z706" i="23" s="1"/>
  <c r="Z724" i="23" s="1"/>
  <c r="Z77" i="23"/>
  <c r="Z78" i="23"/>
  <c r="Z96" i="23" s="1"/>
  <c r="Z114" i="23" s="1"/>
  <c r="Z132" i="23" s="1"/>
  <c r="Z150" i="23" s="1"/>
  <c r="Z168" i="23" s="1"/>
  <c r="Z186" i="23" s="1"/>
  <c r="Z204" i="23" s="1"/>
  <c r="Z222" i="23" s="1"/>
  <c r="Z240" i="23" s="1"/>
  <c r="Z258" i="23" s="1"/>
  <c r="Z276" i="23" s="1"/>
  <c r="Z294" i="23" s="1"/>
  <c r="Z312" i="23" s="1"/>
  <c r="Z330" i="23" s="1"/>
  <c r="Z348" i="23" s="1"/>
  <c r="Z366" i="23" s="1"/>
  <c r="Z384" i="23" s="1"/>
  <c r="Z402" i="23" s="1"/>
  <c r="Z420" i="23" s="1"/>
  <c r="Z438" i="23" s="1"/>
  <c r="Z456" i="23" s="1"/>
  <c r="Z474" i="23" s="1"/>
  <c r="Z492" i="23" s="1"/>
  <c r="Z510" i="23" s="1"/>
  <c r="Z528" i="23" s="1"/>
  <c r="Z546" i="23" s="1"/>
  <c r="Z564" i="23" s="1"/>
  <c r="Z582" i="23" s="1"/>
  <c r="Z600" i="23" s="1"/>
  <c r="Z618" i="23" s="1"/>
  <c r="Z636" i="23" s="1"/>
  <c r="Z654" i="23" s="1"/>
  <c r="Z672" i="23" s="1"/>
  <c r="Z690" i="23" s="1"/>
  <c r="Z708" i="23" s="1"/>
  <c r="Z726" i="23" s="1"/>
  <c r="Z79" i="23"/>
  <c r="Z97" i="23" s="1"/>
  <c r="Z115" i="23" s="1"/>
  <c r="Z133" i="23" s="1"/>
  <c r="Z151" i="23" s="1"/>
  <c r="Z169" i="23" s="1"/>
  <c r="Z187" i="23" s="1"/>
  <c r="Z205" i="23" s="1"/>
  <c r="Z223" i="23" s="1"/>
  <c r="Z241" i="23" s="1"/>
  <c r="Z259" i="23" s="1"/>
  <c r="Z277" i="23" s="1"/>
  <c r="Z295" i="23" s="1"/>
  <c r="Z313" i="23" s="1"/>
  <c r="Z331" i="23" s="1"/>
  <c r="Z349" i="23" s="1"/>
  <c r="Z367" i="23" s="1"/>
  <c r="Z385" i="23" s="1"/>
  <c r="Z403" i="23" s="1"/>
  <c r="Z421" i="23" s="1"/>
  <c r="Z439" i="23" s="1"/>
  <c r="Z457" i="23" s="1"/>
  <c r="Z475" i="23" s="1"/>
  <c r="Z493" i="23" s="1"/>
  <c r="Z511" i="23" s="1"/>
  <c r="Z529" i="23" s="1"/>
  <c r="Z547" i="23" s="1"/>
  <c r="Z565" i="23" s="1"/>
  <c r="Z583" i="23" s="1"/>
  <c r="Z601" i="23" s="1"/>
  <c r="Z619" i="23" s="1"/>
  <c r="Z637" i="23" s="1"/>
  <c r="Z655" i="23" s="1"/>
  <c r="Z673" i="23" s="1"/>
  <c r="Z691" i="23" s="1"/>
  <c r="Z709" i="23" s="1"/>
  <c r="Z727" i="23" s="1"/>
  <c r="Z80" i="23"/>
  <c r="Z98" i="23" s="1"/>
  <c r="Z116" i="23" s="1"/>
  <c r="Z134" i="23" s="1"/>
  <c r="Z152" i="23" s="1"/>
  <c r="Z170" i="23" s="1"/>
  <c r="Z188" i="23" s="1"/>
  <c r="Z206" i="23" s="1"/>
  <c r="Z224" i="23" s="1"/>
  <c r="Z242" i="23" s="1"/>
  <c r="Z260" i="23" s="1"/>
  <c r="Z278" i="23" s="1"/>
  <c r="Z296" i="23" s="1"/>
  <c r="Z314" i="23" s="1"/>
  <c r="Z332" i="23" s="1"/>
  <c r="Z350" i="23" s="1"/>
  <c r="Z368" i="23" s="1"/>
  <c r="Z386" i="23" s="1"/>
  <c r="Z404" i="23" s="1"/>
  <c r="Z422" i="23" s="1"/>
  <c r="Z440" i="23" s="1"/>
  <c r="Z458" i="23" s="1"/>
  <c r="Z476" i="23" s="1"/>
  <c r="Z494" i="23" s="1"/>
  <c r="Z512" i="23" s="1"/>
  <c r="Z530" i="23" s="1"/>
  <c r="Z548" i="23" s="1"/>
  <c r="Z566" i="23" s="1"/>
  <c r="Z584" i="23" s="1"/>
  <c r="Z602" i="23" s="1"/>
  <c r="Z620" i="23" s="1"/>
  <c r="Z638" i="23" s="1"/>
  <c r="Z656" i="23" s="1"/>
  <c r="Z674" i="23" s="1"/>
  <c r="Z692" i="23" s="1"/>
  <c r="Z710" i="23" s="1"/>
  <c r="Z728" i="23" s="1"/>
  <c r="Z81" i="23"/>
  <c r="Z82" i="23"/>
  <c r="Z100" i="23" s="1"/>
  <c r="Z118" i="23" s="1"/>
  <c r="Z136" i="23" s="1"/>
  <c r="Z154" i="23" s="1"/>
  <c r="Z172" i="23" s="1"/>
  <c r="Z190" i="23" s="1"/>
  <c r="Z208" i="23" s="1"/>
  <c r="Z226" i="23" s="1"/>
  <c r="Z244" i="23" s="1"/>
  <c r="Z262" i="23" s="1"/>
  <c r="Z280" i="23" s="1"/>
  <c r="Z298" i="23" s="1"/>
  <c r="Z316" i="23" s="1"/>
  <c r="Z334" i="23" s="1"/>
  <c r="Z352" i="23" s="1"/>
  <c r="Z370" i="23" s="1"/>
  <c r="Z388" i="23" s="1"/>
  <c r="Z406" i="23" s="1"/>
  <c r="Z424" i="23" s="1"/>
  <c r="Z442" i="23" s="1"/>
  <c r="Z460" i="23" s="1"/>
  <c r="Z478" i="23" s="1"/>
  <c r="Z496" i="23" s="1"/>
  <c r="Z514" i="23" s="1"/>
  <c r="Z532" i="23" s="1"/>
  <c r="Z550" i="23" s="1"/>
  <c r="Z568" i="23" s="1"/>
  <c r="Z586" i="23" s="1"/>
  <c r="Z604" i="23" s="1"/>
  <c r="Z622" i="23" s="1"/>
  <c r="Z640" i="23" s="1"/>
  <c r="Z658" i="23" s="1"/>
  <c r="Z676" i="23" s="1"/>
  <c r="Z694" i="23" s="1"/>
  <c r="Z712" i="23" s="1"/>
  <c r="Z730" i="23" s="1"/>
  <c r="Z83" i="23"/>
  <c r="Z101" i="23" s="1"/>
  <c r="Z119" i="23" s="1"/>
  <c r="Z137" i="23" s="1"/>
  <c r="Z155" i="23" s="1"/>
  <c r="Z173" i="23" s="1"/>
  <c r="Z191" i="23" s="1"/>
  <c r="Z209" i="23" s="1"/>
  <c r="Z227" i="23" s="1"/>
  <c r="Z245" i="23" s="1"/>
  <c r="Z263" i="23" s="1"/>
  <c r="Z281" i="23" s="1"/>
  <c r="Z299" i="23" s="1"/>
  <c r="Z317" i="23" s="1"/>
  <c r="Z335" i="23" s="1"/>
  <c r="Z353" i="23" s="1"/>
  <c r="Z371" i="23" s="1"/>
  <c r="Z389" i="23" s="1"/>
  <c r="Z407" i="23" s="1"/>
  <c r="Z425" i="23" s="1"/>
  <c r="Z443" i="23" s="1"/>
  <c r="Z461" i="23" s="1"/>
  <c r="Z479" i="23" s="1"/>
  <c r="Z497" i="23" s="1"/>
  <c r="Z515" i="23" s="1"/>
  <c r="Z533" i="23" s="1"/>
  <c r="Z551" i="23" s="1"/>
  <c r="Z569" i="23" s="1"/>
  <c r="Z587" i="23" s="1"/>
  <c r="Z605" i="23" s="1"/>
  <c r="Z623" i="23" s="1"/>
  <c r="Z641" i="23" s="1"/>
  <c r="Z659" i="23" s="1"/>
  <c r="Z677" i="23" s="1"/>
  <c r="Z695" i="23" s="1"/>
  <c r="Z713" i="23" s="1"/>
  <c r="Z731" i="23" s="1"/>
  <c r="Z84" i="23"/>
  <c r="Z102" i="23" s="1"/>
  <c r="Z120" i="23" s="1"/>
  <c r="Z138" i="23" s="1"/>
  <c r="Z156" i="23" s="1"/>
  <c r="Z174" i="23" s="1"/>
  <c r="Z192" i="23" s="1"/>
  <c r="Z210" i="23" s="1"/>
  <c r="Z228" i="23" s="1"/>
  <c r="Z246" i="23" s="1"/>
  <c r="Z264" i="23" s="1"/>
  <c r="Z282" i="23" s="1"/>
  <c r="Z300" i="23" s="1"/>
  <c r="Z318" i="23" s="1"/>
  <c r="Z336" i="23" s="1"/>
  <c r="Z354" i="23" s="1"/>
  <c r="Z372" i="23" s="1"/>
  <c r="Z390" i="23" s="1"/>
  <c r="Z408" i="23" s="1"/>
  <c r="Z426" i="23" s="1"/>
  <c r="Z444" i="23" s="1"/>
  <c r="Z462" i="23" s="1"/>
  <c r="Z480" i="23" s="1"/>
  <c r="Z498" i="23" s="1"/>
  <c r="Z516" i="23" s="1"/>
  <c r="Z534" i="23" s="1"/>
  <c r="Z552" i="23" s="1"/>
  <c r="Z570" i="23" s="1"/>
  <c r="Z588" i="23" s="1"/>
  <c r="Z606" i="23" s="1"/>
  <c r="Z624" i="23" s="1"/>
  <c r="Z642" i="23" s="1"/>
  <c r="Z660" i="23" s="1"/>
  <c r="Z678" i="23" s="1"/>
  <c r="Z696" i="23" s="1"/>
  <c r="Z714" i="23" s="1"/>
  <c r="Z85" i="23"/>
  <c r="Z86" i="23"/>
  <c r="Z104" i="23" s="1"/>
  <c r="Z122" i="23" s="1"/>
  <c r="Z140" i="23" s="1"/>
  <c r="Z158" i="23" s="1"/>
  <c r="Z176" i="23" s="1"/>
  <c r="Z194" i="23" s="1"/>
  <c r="Z212" i="23" s="1"/>
  <c r="Z230" i="23" s="1"/>
  <c r="Z248" i="23" s="1"/>
  <c r="Z266" i="23" s="1"/>
  <c r="Z284" i="23" s="1"/>
  <c r="Z302" i="23" s="1"/>
  <c r="Z320" i="23" s="1"/>
  <c r="Z338" i="23" s="1"/>
  <c r="Z356" i="23" s="1"/>
  <c r="Z374" i="23" s="1"/>
  <c r="Z392" i="23" s="1"/>
  <c r="Z410" i="23" s="1"/>
  <c r="Z428" i="23" s="1"/>
  <c r="Z446" i="23" s="1"/>
  <c r="Z464" i="23" s="1"/>
  <c r="Z482" i="23" s="1"/>
  <c r="Z500" i="23" s="1"/>
  <c r="Z518" i="23" s="1"/>
  <c r="Z536" i="23" s="1"/>
  <c r="Z554" i="23" s="1"/>
  <c r="Z572" i="23" s="1"/>
  <c r="Z590" i="23" s="1"/>
  <c r="Z608" i="23" s="1"/>
  <c r="Z626" i="23" s="1"/>
  <c r="Z644" i="23" s="1"/>
  <c r="Z662" i="23" s="1"/>
  <c r="Z680" i="23" s="1"/>
  <c r="Z698" i="23" s="1"/>
  <c r="Z716" i="23" s="1"/>
  <c r="Z87" i="23"/>
  <c r="Z105" i="23" s="1"/>
  <c r="Z123" i="23" s="1"/>
  <c r="Z141" i="23" s="1"/>
  <c r="Z159" i="23" s="1"/>
  <c r="Z177" i="23" s="1"/>
  <c r="Z195" i="23" s="1"/>
  <c r="Z213" i="23" s="1"/>
  <c r="Z231" i="23" s="1"/>
  <c r="Z249" i="23" s="1"/>
  <c r="Z267" i="23" s="1"/>
  <c r="Z285" i="23" s="1"/>
  <c r="Z303" i="23" s="1"/>
  <c r="Z321" i="23" s="1"/>
  <c r="Z339" i="23" s="1"/>
  <c r="Z357" i="23" s="1"/>
  <c r="Z375" i="23" s="1"/>
  <c r="Z393" i="23" s="1"/>
  <c r="Z411" i="23" s="1"/>
  <c r="Z429" i="23" s="1"/>
  <c r="Z447" i="23" s="1"/>
  <c r="Z465" i="23" s="1"/>
  <c r="Z483" i="23" s="1"/>
  <c r="Z501" i="23" s="1"/>
  <c r="Z519" i="23" s="1"/>
  <c r="Z537" i="23" s="1"/>
  <c r="Z555" i="23" s="1"/>
  <c r="Z573" i="23" s="1"/>
  <c r="Z591" i="23" s="1"/>
  <c r="Z609" i="23" s="1"/>
  <c r="Z627" i="23" s="1"/>
  <c r="Z645" i="23" s="1"/>
  <c r="Z663" i="23" s="1"/>
  <c r="Z681" i="23" s="1"/>
  <c r="Z699" i="23" s="1"/>
  <c r="Z717" i="23" s="1"/>
  <c r="Z88" i="23"/>
  <c r="Z89" i="23"/>
  <c r="Z90" i="23"/>
  <c r="Z108" i="23" s="1"/>
  <c r="Z126" i="23" s="1"/>
  <c r="Z144" i="23" s="1"/>
  <c r="Z162" i="23" s="1"/>
  <c r="Z180" i="23" s="1"/>
  <c r="Z198" i="23" s="1"/>
  <c r="Z216" i="23" s="1"/>
  <c r="Z234" i="23" s="1"/>
  <c r="Z252" i="23" s="1"/>
  <c r="Z270" i="23" s="1"/>
  <c r="Z288" i="23" s="1"/>
  <c r="Z306" i="23" s="1"/>
  <c r="Z324" i="23" s="1"/>
  <c r="Z342" i="23" s="1"/>
  <c r="Z360" i="23" s="1"/>
  <c r="Z378" i="23" s="1"/>
  <c r="Z396" i="23" s="1"/>
  <c r="Z414" i="23" s="1"/>
  <c r="Z432" i="23" s="1"/>
  <c r="Z450" i="23" s="1"/>
  <c r="Z468" i="23" s="1"/>
  <c r="Z486" i="23" s="1"/>
  <c r="Z504" i="23" s="1"/>
  <c r="Z522" i="23" s="1"/>
  <c r="Z540" i="23" s="1"/>
  <c r="Z558" i="23" s="1"/>
  <c r="Z576" i="23" s="1"/>
  <c r="Z594" i="23" s="1"/>
  <c r="Z612" i="23" s="1"/>
  <c r="Z630" i="23" s="1"/>
  <c r="Z648" i="23" s="1"/>
  <c r="Z666" i="23" s="1"/>
  <c r="Z684" i="23" s="1"/>
  <c r="Z702" i="23" s="1"/>
  <c r="Z720" i="23" s="1"/>
  <c r="Z91" i="23"/>
  <c r="Z109" i="23" s="1"/>
  <c r="Z127" i="23" s="1"/>
  <c r="Z145" i="23" s="1"/>
  <c r="Z163" i="23" s="1"/>
  <c r="Z181" i="23" s="1"/>
  <c r="Z199" i="23" s="1"/>
  <c r="Z217" i="23" s="1"/>
  <c r="Z235" i="23" s="1"/>
  <c r="Z253" i="23" s="1"/>
  <c r="Z271" i="23" s="1"/>
  <c r="Z289" i="23" s="1"/>
  <c r="Z307" i="23" s="1"/>
  <c r="Z325" i="23" s="1"/>
  <c r="Z343" i="23" s="1"/>
  <c r="Z95" i="23"/>
  <c r="Z113" i="23" s="1"/>
  <c r="Z131" i="23" s="1"/>
  <c r="Z149" i="23" s="1"/>
  <c r="Z167" i="23" s="1"/>
  <c r="Z185" i="23" s="1"/>
  <c r="Z203" i="23" s="1"/>
  <c r="Z221" i="23" s="1"/>
  <c r="Z239" i="23" s="1"/>
  <c r="Z257" i="23" s="1"/>
  <c r="Z275" i="23" s="1"/>
  <c r="Z293" i="23" s="1"/>
  <c r="Z311" i="23" s="1"/>
  <c r="Z329" i="23" s="1"/>
  <c r="Z347" i="23" s="1"/>
  <c r="Z365" i="23" s="1"/>
  <c r="Z383" i="23" s="1"/>
  <c r="Z401" i="23" s="1"/>
  <c r="Z419" i="23" s="1"/>
  <c r="Z437" i="23" s="1"/>
  <c r="Z455" i="23" s="1"/>
  <c r="Z473" i="23" s="1"/>
  <c r="Z491" i="23" s="1"/>
  <c r="Z509" i="23" s="1"/>
  <c r="Z527" i="23" s="1"/>
  <c r="Z545" i="23" s="1"/>
  <c r="Z563" i="23" s="1"/>
  <c r="Z581" i="23" s="1"/>
  <c r="Z599" i="23" s="1"/>
  <c r="Z617" i="23" s="1"/>
  <c r="Z635" i="23" s="1"/>
  <c r="Z653" i="23" s="1"/>
  <c r="Z671" i="23" s="1"/>
  <c r="Z689" i="23" s="1"/>
  <c r="Z707" i="23" s="1"/>
  <c r="Z725" i="23" s="1"/>
  <c r="Z99" i="23"/>
  <c r="Z117" i="23" s="1"/>
  <c r="Z135" i="23" s="1"/>
  <c r="Z153" i="23" s="1"/>
  <c r="Z171" i="23" s="1"/>
  <c r="Z189" i="23" s="1"/>
  <c r="Z207" i="23" s="1"/>
  <c r="Z225" i="23" s="1"/>
  <c r="Z243" i="23" s="1"/>
  <c r="Z261" i="23" s="1"/>
  <c r="Z279" i="23" s="1"/>
  <c r="Z297" i="23" s="1"/>
  <c r="Z315" i="23" s="1"/>
  <c r="Z333" i="23" s="1"/>
  <c r="Z351" i="23" s="1"/>
  <c r="Z369" i="23" s="1"/>
  <c r="Z387" i="23" s="1"/>
  <c r="Z405" i="23" s="1"/>
  <c r="Z423" i="23" s="1"/>
  <c r="Z441" i="23" s="1"/>
  <c r="Z459" i="23" s="1"/>
  <c r="Z477" i="23" s="1"/>
  <c r="Z495" i="23" s="1"/>
  <c r="Z513" i="23" s="1"/>
  <c r="Z531" i="23" s="1"/>
  <c r="Z549" i="23" s="1"/>
  <c r="Z567" i="23" s="1"/>
  <c r="Z585" i="23" s="1"/>
  <c r="Z603" i="23" s="1"/>
  <c r="Z621" i="23" s="1"/>
  <c r="Z639" i="23" s="1"/>
  <c r="Z657" i="23" s="1"/>
  <c r="Z675" i="23" s="1"/>
  <c r="Z693" i="23" s="1"/>
  <c r="Z711" i="23" s="1"/>
  <c r="Z729" i="23" s="1"/>
  <c r="Z103" i="23"/>
  <c r="Z121" i="23" s="1"/>
  <c r="Z139" i="23" s="1"/>
  <c r="Z157" i="23" s="1"/>
  <c r="Z175" i="23" s="1"/>
  <c r="Z193" i="23" s="1"/>
  <c r="Z211" i="23" s="1"/>
  <c r="Z229" i="23" s="1"/>
  <c r="Z247" i="23" s="1"/>
  <c r="Z265" i="23" s="1"/>
  <c r="Z283" i="23" s="1"/>
  <c r="Z301" i="23" s="1"/>
  <c r="Z319" i="23" s="1"/>
  <c r="Z337" i="23" s="1"/>
  <c r="Z355" i="23" s="1"/>
  <c r="Z373" i="23" s="1"/>
  <c r="Z391" i="23" s="1"/>
  <c r="Z409" i="23" s="1"/>
  <c r="Z427" i="23" s="1"/>
  <c r="Z445" i="23" s="1"/>
  <c r="Z463" i="23" s="1"/>
  <c r="Z481" i="23" s="1"/>
  <c r="Z499" i="23" s="1"/>
  <c r="Z517" i="23" s="1"/>
  <c r="Z535" i="23" s="1"/>
  <c r="Z553" i="23" s="1"/>
  <c r="Z571" i="23" s="1"/>
  <c r="Z589" i="23" s="1"/>
  <c r="Z607" i="23" s="1"/>
  <c r="Z625" i="23" s="1"/>
  <c r="Z643" i="23" s="1"/>
  <c r="Z661" i="23" s="1"/>
  <c r="Z679" i="23" s="1"/>
  <c r="Z697" i="23" s="1"/>
  <c r="Z715" i="23" s="1"/>
  <c r="Z106" i="23"/>
  <c r="Z124" i="23" s="1"/>
  <c r="Z142" i="23" s="1"/>
  <c r="Z160" i="23" s="1"/>
  <c r="Z178" i="23" s="1"/>
  <c r="Z196" i="23" s="1"/>
  <c r="Z214" i="23" s="1"/>
  <c r="Z232" i="23" s="1"/>
  <c r="Z250" i="23" s="1"/>
  <c r="Z268" i="23" s="1"/>
  <c r="Z286" i="23" s="1"/>
  <c r="Z304" i="23" s="1"/>
  <c r="Z322" i="23" s="1"/>
  <c r="Z340" i="23" s="1"/>
  <c r="Z358" i="23" s="1"/>
  <c r="Z376" i="23" s="1"/>
  <c r="Z394" i="23" s="1"/>
  <c r="Z412" i="23" s="1"/>
  <c r="Z430" i="23" s="1"/>
  <c r="Z448" i="23" s="1"/>
  <c r="Z466" i="23" s="1"/>
  <c r="Z484" i="23" s="1"/>
  <c r="Z502" i="23" s="1"/>
  <c r="Z520" i="23" s="1"/>
  <c r="Z538" i="23" s="1"/>
  <c r="Z556" i="23" s="1"/>
  <c r="Z574" i="23" s="1"/>
  <c r="Z592" i="23" s="1"/>
  <c r="Z610" i="23" s="1"/>
  <c r="Z628" i="23" s="1"/>
  <c r="Z646" i="23" s="1"/>
  <c r="Z664" i="23" s="1"/>
  <c r="Z682" i="23" s="1"/>
  <c r="Z700" i="23" s="1"/>
  <c r="Z718" i="23" s="1"/>
  <c r="Z107" i="23"/>
  <c r="Z125" i="23" s="1"/>
  <c r="Z143" i="23" s="1"/>
  <c r="Z161" i="23" s="1"/>
  <c r="Z179" i="23" s="1"/>
  <c r="Z197" i="23" s="1"/>
  <c r="Z215" i="23" s="1"/>
  <c r="Z233" i="23" s="1"/>
  <c r="Z251" i="23" s="1"/>
  <c r="Z269" i="23" s="1"/>
  <c r="Z287" i="23" s="1"/>
  <c r="Z305" i="23" s="1"/>
  <c r="Z323" i="23" s="1"/>
  <c r="Z341" i="23" s="1"/>
  <c r="Z359" i="23" s="1"/>
  <c r="Z377" i="23" s="1"/>
  <c r="Z395" i="23" s="1"/>
  <c r="Z413" i="23" s="1"/>
  <c r="Z431" i="23" s="1"/>
  <c r="Z449" i="23" s="1"/>
  <c r="Z467" i="23" s="1"/>
  <c r="Z485" i="23" s="1"/>
  <c r="Z503" i="23" s="1"/>
  <c r="Z521" i="23" s="1"/>
  <c r="Z539" i="23" s="1"/>
  <c r="Z557" i="23" s="1"/>
  <c r="Z575" i="23" s="1"/>
  <c r="Z593" i="23" s="1"/>
  <c r="Z611" i="23" s="1"/>
  <c r="Z629" i="23" s="1"/>
  <c r="Z647" i="23" s="1"/>
  <c r="Z665" i="23" s="1"/>
  <c r="Z683" i="23" s="1"/>
  <c r="Z701" i="23" s="1"/>
  <c r="Z719" i="23" s="1"/>
  <c r="Z361" i="23"/>
  <c r="Z379" i="23" s="1"/>
  <c r="Z397" i="23" s="1"/>
  <c r="Z415" i="23" s="1"/>
  <c r="Z433" i="23" s="1"/>
  <c r="Z451" i="23" s="1"/>
  <c r="Z469" i="23" s="1"/>
  <c r="Z487" i="23" s="1"/>
  <c r="Z505" i="23" s="1"/>
  <c r="Z523" i="23" s="1"/>
  <c r="Z541" i="23" s="1"/>
  <c r="Z559" i="23" s="1"/>
  <c r="Z577" i="23" s="1"/>
  <c r="Z595" i="23" s="1"/>
  <c r="Z613" i="23" s="1"/>
  <c r="Z631" i="23" s="1"/>
  <c r="Z649" i="23" s="1"/>
  <c r="Z667" i="23" s="1"/>
  <c r="Z685" i="23" s="1"/>
  <c r="Z703" i="23" s="1"/>
  <c r="Z721" i="23" s="1"/>
  <c r="Z417" i="23"/>
  <c r="Z435" i="23" s="1"/>
  <c r="Z453" i="23" s="1"/>
  <c r="Z471" i="23" s="1"/>
  <c r="Z489" i="23"/>
  <c r="Z507" i="23" s="1"/>
  <c r="Z525" i="23" s="1"/>
  <c r="Z543" i="23" s="1"/>
  <c r="Z561" i="23" s="1"/>
  <c r="Z579" i="23" s="1"/>
  <c r="Z597" i="23" s="1"/>
  <c r="Z615" i="23" s="1"/>
  <c r="Z633" i="23" s="1"/>
  <c r="Z651" i="23" s="1"/>
  <c r="Z669" i="23" s="1"/>
  <c r="Z687" i="23" s="1"/>
  <c r="Z705" i="23" s="1"/>
  <c r="Z723" i="23" s="1"/>
  <c r="W92" i="23"/>
  <c r="W110" i="23" s="1"/>
  <c r="W128" i="23" s="1"/>
  <c r="W146" i="23" s="1"/>
  <c r="W164" i="23" s="1"/>
  <c r="W182" i="23" s="1"/>
  <c r="W200" i="23" s="1"/>
  <c r="W218" i="23" s="1"/>
  <c r="W236" i="23" s="1"/>
  <c r="W254" i="23" s="1"/>
  <c r="W272" i="23" s="1"/>
  <c r="W290" i="23" s="1"/>
  <c r="W308" i="23" s="1"/>
  <c r="W326" i="23" s="1"/>
  <c r="W344" i="23" s="1"/>
  <c r="W362" i="23" s="1"/>
  <c r="W380" i="23" s="1"/>
  <c r="W398" i="23" s="1"/>
  <c r="W416" i="23" s="1"/>
  <c r="W434" i="23" s="1"/>
  <c r="W452" i="23" s="1"/>
  <c r="W470" i="23" s="1"/>
  <c r="W488" i="23" s="1"/>
  <c r="W506" i="23" s="1"/>
  <c r="W524" i="23" s="1"/>
  <c r="W542" i="23" s="1"/>
  <c r="W560" i="23" s="1"/>
  <c r="W578" i="23" s="1"/>
  <c r="W596" i="23" s="1"/>
  <c r="W614" i="23" s="1"/>
  <c r="W632" i="23" s="1"/>
  <c r="W650" i="23" s="1"/>
  <c r="W668" i="23" s="1"/>
  <c r="W686" i="23" s="1"/>
  <c r="W704" i="23" s="1"/>
  <c r="W722" i="23" s="1"/>
  <c r="W74" i="23"/>
  <c r="Z74" i="23"/>
  <c r="Z92" i="23" s="1"/>
  <c r="Z110" i="23" s="1"/>
  <c r="Z128" i="23" s="1"/>
  <c r="Z146" i="23" s="1"/>
  <c r="Z164" i="23" s="1"/>
  <c r="Z182" i="23" s="1"/>
  <c r="Z200" i="23" s="1"/>
  <c r="Z218" i="23" s="1"/>
  <c r="Z236" i="23" s="1"/>
  <c r="Z254" i="23" s="1"/>
  <c r="Z272" i="23" s="1"/>
  <c r="Z290" i="23" s="1"/>
  <c r="Z308" i="23" s="1"/>
  <c r="Z326" i="23" s="1"/>
  <c r="Z344" i="23" s="1"/>
  <c r="Z362" i="23" s="1"/>
  <c r="Z380" i="23" s="1"/>
  <c r="Z398" i="23" s="1"/>
  <c r="Z416" i="23" s="1"/>
  <c r="Z434" i="23" s="1"/>
  <c r="Z452" i="23" s="1"/>
  <c r="Z470" i="23" s="1"/>
  <c r="Z488" i="23" s="1"/>
  <c r="Z506" i="23" s="1"/>
  <c r="Z524" i="23" s="1"/>
  <c r="Z542" i="23" s="1"/>
  <c r="Z560" i="23" s="1"/>
  <c r="Z578" i="23" s="1"/>
  <c r="Z596" i="23" s="1"/>
  <c r="Z614" i="23" s="1"/>
  <c r="Z632" i="23" s="1"/>
  <c r="Z650" i="23" s="1"/>
  <c r="Z668" i="23" s="1"/>
  <c r="Z686" i="23" s="1"/>
  <c r="Z704" i="23" s="1"/>
  <c r="Z722" i="23" s="1"/>
  <c r="AC155" i="23"/>
  <c r="S105" i="23"/>
  <c r="S104" i="23"/>
  <c r="S103" i="23"/>
  <c r="S102" i="23"/>
  <c r="S101" i="23"/>
  <c r="S100" i="23"/>
  <c r="S99" i="23"/>
  <c r="S98" i="23"/>
  <c r="S97" i="23"/>
  <c r="S96" i="23"/>
  <c r="S95" i="23"/>
  <c r="S94" i="23"/>
  <c r="S93" i="23"/>
  <c r="S92" i="23"/>
  <c r="S91" i="23"/>
  <c r="S90" i="23"/>
  <c r="S89" i="23"/>
  <c r="S88" i="23"/>
  <c r="S87" i="23"/>
  <c r="S86" i="23"/>
  <c r="S85" i="23"/>
  <c r="S84" i="23"/>
  <c r="S83" i="23"/>
  <c r="S82" i="23"/>
  <c r="S81" i="23"/>
  <c r="S80" i="23"/>
  <c r="A80" i="23"/>
  <c r="S79" i="23"/>
  <c r="S78" i="23"/>
  <c r="S77" i="23"/>
  <c r="S76" i="23"/>
  <c r="S75" i="23"/>
  <c r="S74" i="23"/>
  <c r="S73" i="23"/>
  <c r="S72" i="23"/>
  <c r="G72" i="23"/>
  <c r="S71" i="23"/>
  <c r="S70" i="23"/>
  <c r="S69" i="23"/>
  <c r="S68" i="23"/>
  <c r="I68" i="23"/>
  <c r="S67" i="23"/>
  <c r="I67" i="23"/>
  <c r="S66" i="23"/>
  <c r="I66" i="23"/>
  <c r="S65" i="23"/>
  <c r="I65" i="23"/>
  <c r="S64" i="23"/>
  <c r="I64" i="23"/>
  <c r="S63" i="23"/>
  <c r="I63" i="23"/>
  <c r="S62" i="23"/>
  <c r="I62" i="23"/>
  <c r="G62" i="23"/>
  <c r="S61" i="23"/>
  <c r="I61" i="23"/>
  <c r="S60" i="23"/>
  <c r="I60" i="23"/>
  <c r="G60" i="23"/>
  <c r="S59" i="23"/>
  <c r="I59" i="23"/>
  <c r="S58" i="23"/>
  <c r="I58" i="23"/>
  <c r="S57" i="23"/>
  <c r="I57" i="23"/>
  <c r="S56" i="23"/>
  <c r="I56" i="23"/>
  <c r="P55" i="23"/>
  <c r="Q53" i="23"/>
  <c r="G44" i="23"/>
  <c r="G29" i="23"/>
  <c r="G24" i="23"/>
  <c r="G20" i="23"/>
  <c r="G23" i="23" s="1"/>
  <c r="G19" i="23"/>
  <c r="J17" i="23"/>
  <c r="G9" i="23"/>
  <c r="Y8" i="23"/>
  <c r="Y9" i="23" s="1"/>
  <c r="Y10" i="23" s="1"/>
  <c r="Y11" i="23" s="1"/>
  <c r="Y12" i="23" s="1"/>
  <c r="Y13" i="23" s="1"/>
  <c r="Y14" i="23" s="1"/>
  <c r="Y15" i="23" s="1"/>
  <c r="Y16" i="23" s="1"/>
  <c r="Y17" i="23" s="1"/>
  <c r="Y18" i="23" s="1"/>
  <c r="Y19" i="23" s="1"/>
  <c r="Y20" i="23" s="1"/>
  <c r="Y21" i="23" s="1"/>
  <c r="Y22" i="23" s="1"/>
  <c r="Y23" i="23" s="1"/>
  <c r="Y24" i="23" s="1"/>
  <c r="Y25" i="23" s="1"/>
  <c r="Y26" i="23" s="1"/>
  <c r="Y27" i="23" s="1"/>
  <c r="Y28" i="23" s="1"/>
  <c r="Y29" i="23" s="1"/>
  <c r="Y30" i="23" s="1"/>
  <c r="Y31" i="23" s="1"/>
  <c r="Y32" i="23" s="1"/>
  <c r="Y33" i="23" s="1"/>
  <c r="Y34" i="23" s="1"/>
  <c r="Y35" i="23" s="1"/>
  <c r="Y36" i="23" s="1"/>
  <c r="Y37" i="23" s="1"/>
  <c r="Y38" i="23" s="1"/>
  <c r="Y39" i="23" s="1"/>
  <c r="Y40" i="23" s="1"/>
  <c r="Y41" i="23" s="1"/>
  <c r="Y42" i="23" s="1"/>
  <c r="Y43" i="23" s="1"/>
  <c r="Y44" i="23" s="1"/>
  <c r="Y45" i="23" s="1"/>
  <c r="Y46" i="23" s="1"/>
  <c r="Y47" i="23" s="1"/>
  <c r="V8" i="23"/>
  <c r="V9" i="23" s="1"/>
  <c r="V10" i="23" s="1"/>
  <c r="V11" i="23" s="1"/>
  <c r="V12" i="23" s="1"/>
  <c r="V13" i="23" s="1"/>
  <c r="V14" i="23" s="1"/>
  <c r="V15" i="23" s="1"/>
  <c r="V16" i="23" s="1"/>
  <c r="V17" i="23" s="1"/>
  <c r="V18" i="23" s="1"/>
  <c r="V19" i="23" s="1"/>
  <c r="V20" i="23" s="1"/>
  <c r="V21" i="23" s="1"/>
  <c r="V22" i="23" s="1"/>
  <c r="Q8" i="23"/>
  <c r="Q9" i="23" s="1"/>
  <c r="Q10" i="23" s="1"/>
  <c r="Q11" i="23" s="1"/>
  <c r="Q12" i="23" s="1"/>
  <c r="Q13" i="23" s="1"/>
  <c r="Q14" i="23" s="1"/>
  <c r="Q15" i="23" s="1"/>
  <c r="Q16" i="23" s="1"/>
  <c r="Q17" i="23" s="1"/>
  <c r="Q18" i="23" s="1"/>
  <c r="Q19" i="23" s="1"/>
  <c r="Q20" i="23" s="1"/>
  <c r="Q21" i="23" s="1"/>
  <c r="Q22" i="23" s="1"/>
  <c r="Q23" i="23" s="1"/>
  <c r="Q24" i="23" s="1"/>
  <c r="Q25" i="23" s="1"/>
  <c r="Q26" i="23" s="1"/>
  <c r="Q27" i="23" s="1"/>
  <c r="Q28" i="23" s="1"/>
  <c r="Q29" i="23" s="1"/>
  <c r="Q30" i="23" s="1"/>
  <c r="Q31" i="23" s="1"/>
  <c r="Q32" i="23" s="1"/>
  <c r="Q33" i="23" s="1"/>
  <c r="N8" i="23"/>
  <c r="N9" i="23" s="1"/>
  <c r="N10" i="23" s="1"/>
  <c r="N11" i="23" s="1"/>
  <c r="N12" i="23" s="1"/>
  <c r="N13" i="23" s="1"/>
  <c r="N14" i="23" s="1"/>
  <c r="N15" i="23" s="1"/>
  <c r="N16" i="23" s="1"/>
  <c r="N17" i="23" s="1"/>
  <c r="N18" i="23" s="1"/>
  <c r="N19" i="23" s="1"/>
  <c r="N20" i="23" s="1"/>
  <c r="N21" i="23" s="1"/>
  <c r="N22" i="23" s="1"/>
  <c r="N23" i="23" s="1"/>
  <c r="N24" i="23" s="1"/>
  <c r="N25" i="23" s="1"/>
  <c r="N26" i="23" s="1"/>
  <c r="G7" i="23"/>
  <c r="G1" i="23"/>
  <c r="Z265" i="21"/>
  <c r="Z317" i="21" s="1"/>
  <c r="Z266" i="21"/>
  <c r="Z318" i="21" s="1"/>
  <c r="Z267" i="21"/>
  <c r="Z319" i="21" s="1"/>
  <c r="Z268" i="21"/>
  <c r="Z320" i="21" s="1"/>
  <c r="Z269" i="21"/>
  <c r="Z321" i="21" s="1"/>
  <c r="Z270" i="21"/>
  <c r="Z322" i="21" s="1"/>
  <c r="Z271" i="21"/>
  <c r="Z323" i="21" s="1"/>
  <c r="Z375" i="21" s="1"/>
  <c r="Z272" i="21"/>
  <c r="Z324" i="21" s="1"/>
  <c r="Z273" i="21"/>
  <c r="Z325" i="21" s="1"/>
  <c r="Z274" i="21"/>
  <c r="Z326" i="21" s="1"/>
  <c r="Z275" i="21"/>
  <c r="Z327" i="21" s="1"/>
  <c r="Z276" i="21"/>
  <c r="Z328" i="21" s="1"/>
  <c r="Z277" i="21"/>
  <c r="Z329" i="21" s="1"/>
  <c r="Z278" i="21"/>
  <c r="Z330" i="21" s="1"/>
  <c r="Z279" i="21"/>
  <c r="Z331" i="21" s="1"/>
  <c r="Z280" i="21"/>
  <c r="Z332" i="21" s="1"/>
  <c r="Z281" i="21"/>
  <c r="Z333" i="21" s="1"/>
  <c r="Z282" i="21"/>
  <c r="Z334" i="21" s="1"/>
  <c r="Z283" i="21"/>
  <c r="Z335" i="21" s="1"/>
  <c r="Z284" i="21"/>
  <c r="Z336" i="21" s="1"/>
  <c r="Z285" i="21"/>
  <c r="Z337" i="21" s="1"/>
  <c r="Z286" i="21"/>
  <c r="Z338" i="21" s="1"/>
  <c r="Z287" i="21"/>
  <c r="Z339" i="21" s="1"/>
  <c r="Z288" i="21"/>
  <c r="Z340" i="21" s="1"/>
  <c r="Z289" i="21"/>
  <c r="Z341" i="21" s="1"/>
  <c r="Z290" i="21"/>
  <c r="Z342" i="21" s="1"/>
  <c r="Z291" i="21"/>
  <c r="Z343" i="21" s="1"/>
  <c r="Z292" i="21"/>
  <c r="Z344" i="21" s="1"/>
  <c r="Z293" i="21"/>
  <c r="Z345" i="21" s="1"/>
  <c r="Z294" i="21"/>
  <c r="Z346" i="21" s="1"/>
  <c r="Z295" i="21"/>
  <c r="Z347" i="21" s="1"/>
  <c r="Z296" i="21"/>
  <c r="Z348" i="21" s="1"/>
  <c r="Z297" i="21"/>
  <c r="Z349" i="21" s="1"/>
  <c r="Z298" i="21"/>
  <c r="Z350" i="21" s="1"/>
  <c r="Z299" i="21"/>
  <c r="Z351" i="21" s="1"/>
  <c r="Z300" i="21"/>
  <c r="Z352" i="21" s="1"/>
  <c r="Z301" i="21"/>
  <c r="Z353" i="21" s="1"/>
  <c r="Z302" i="21"/>
  <c r="Z354" i="21" s="1"/>
  <c r="Z303" i="21"/>
  <c r="Z355" i="21" s="1"/>
  <c r="Z304" i="21"/>
  <c r="Z356" i="21" s="1"/>
  <c r="Z305" i="21"/>
  <c r="Z357" i="21" s="1"/>
  <c r="Z306" i="21"/>
  <c r="Z358" i="21" s="1"/>
  <c r="Z307" i="21"/>
  <c r="Z359" i="21" s="1"/>
  <c r="Z308" i="21"/>
  <c r="Z360" i="21" s="1"/>
  <c r="Z309" i="21"/>
  <c r="Z361" i="21" s="1"/>
  <c r="Z310" i="21"/>
  <c r="Z362" i="21" s="1"/>
  <c r="Z311" i="21"/>
  <c r="Z363" i="21" s="1"/>
  <c r="Z312" i="21"/>
  <c r="Z364" i="21" s="1"/>
  <c r="Z313" i="21"/>
  <c r="Z365" i="21" s="1"/>
  <c r="Z314" i="21"/>
  <c r="Z366" i="21" s="1"/>
  <c r="Z315" i="21"/>
  <c r="Z367" i="21" s="1"/>
  <c r="Z264" i="21"/>
  <c r="Z316" i="21" s="1"/>
  <c r="W108" i="21"/>
  <c r="W160" i="21" s="1"/>
  <c r="W212" i="21" s="1"/>
  <c r="W264" i="21" s="1"/>
  <c r="W316" i="21" s="1"/>
  <c r="W368" i="21" s="1"/>
  <c r="W420" i="21" s="1"/>
  <c r="W472" i="21" s="1"/>
  <c r="W524" i="21" s="1"/>
  <c r="S97" i="21"/>
  <c r="S98" i="21"/>
  <c r="S99" i="21"/>
  <c r="S100" i="21"/>
  <c r="S101" i="21"/>
  <c r="S102" i="21"/>
  <c r="S103" i="21"/>
  <c r="S104" i="21"/>
  <c r="S105" i="21"/>
  <c r="I39" i="23"/>
  <c r="N64" i="23"/>
  <c r="N61" i="23"/>
  <c r="P7" i="23"/>
  <c r="L28" i="23"/>
  <c r="L31" i="21"/>
  <c r="L31" i="20"/>
  <c r="W576" i="21" l="1"/>
  <c r="W628" i="21" s="1"/>
  <c r="W680" i="21" s="1"/>
  <c r="Z419" i="21"/>
  <c r="Z415" i="21"/>
  <c r="Z411" i="21"/>
  <c r="Z407" i="21"/>
  <c r="Z403" i="21"/>
  <c r="Z399" i="21"/>
  <c r="Z395" i="21"/>
  <c r="Z391" i="21"/>
  <c r="Z387" i="21"/>
  <c r="Z383" i="21"/>
  <c r="Z379" i="21"/>
  <c r="Z427" i="21"/>
  <c r="Z418" i="21"/>
  <c r="Z414" i="21"/>
  <c r="Z410" i="21"/>
  <c r="Z406" i="21"/>
  <c r="Z402" i="21"/>
  <c r="Z398" i="21"/>
  <c r="Z394" i="21"/>
  <c r="Z390" i="21"/>
  <c r="Z386" i="21"/>
  <c r="Z382" i="21"/>
  <c r="Z378" i="21"/>
  <c r="Z374" i="21"/>
  <c r="Z370" i="21"/>
  <c r="Z417" i="21"/>
  <c r="Z413" i="21"/>
  <c r="Z409" i="21"/>
  <c r="Z405" i="21"/>
  <c r="Z401" i="21"/>
  <c r="Z397" i="21"/>
  <c r="Z393" i="21"/>
  <c r="Z389" i="21"/>
  <c r="Z385" i="21"/>
  <c r="Z381" i="21"/>
  <c r="Z377" i="21"/>
  <c r="Z373" i="21"/>
  <c r="Z369" i="21"/>
  <c r="Z368" i="21"/>
  <c r="Z416" i="21"/>
  <c r="Z412" i="21"/>
  <c r="Z408" i="21"/>
  <c r="Z404" i="21"/>
  <c r="Z400" i="21"/>
  <c r="Z396" i="21"/>
  <c r="Z392" i="21"/>
  <c r="Z388" i="21"/>
  <c r="Z384" i="21"/>
  <c r="Z380" i="21"/>
  <c r="Z376" i="21"/>
  <c r="Z372" i="21"/>
  <c r="Z371" i="21"/>
  <c r="T77" i="23"/>
  <c r="T63" i="23"/>
  <c r="Y65" i="23" s="1"/>
  <c r="AB65" i="23" s="1"/>
  <c r="AB83" i="23" s="1"/>
  <c r="AB101" i="23" s="1"/>
  <c r="AB119" i="23" s="1"/>
  <c r="AB137" i="23" s="1"/>
  <c r="AB155" i="23" s="1"/>
  <c r="AB173" i="23" s="1"/>
  <c r="AB191" i="23" s="1"/>
  <c r="AB209" i="23" s="1"/>
  <c r="AB227" i="23" s="1"/>
  <c r="AB245" i="23" s="1"/>
  <c r="AB263" i="23" s="1"/>
  <c r="AB281" i="23" s="1"/>
  <c r="AB299" i="23" s="1"/>
  <c r="AB317" i="23" s="1"/>
  <c r="AB335" i="23" s="1"/>
  <c r="AB353" i="23" s="1"/>
  <c r="AB371" i="23" s="1"/>
  <c r="AB389" i="23" s="1"/>
  <c r="AB407" i="23" s="1"/>
  <c r="AB425" i="23" s="1"/>
  <c r="AB443" i="23" s="1"/>
  <c r="AB461" i="23" s="1"/>
  <c r="AB479" i="23" s="1"/>
  <c r="AB497" i="23" s="1"/>
  <c r="AB515" i="23" s="1"/>
  <c r="AB533" i="23" s="1"/>
  <c r="AB551" i="23" s="1"/>
  <c r="AB569" i="23" s="1"/>
  <c r="AB587" i="23" s="1"/>
  <c r="AB605" i="23" s="1"/>
  <c r="AB623" i="23" s="1"/>
  <c r="AB641" i="23" s="1"/>
  <c r="AB659" i="23" s="1"/>
  <c r="AB677" i="23" s="1"/>
  <c r="AB695" i="23" s="1"/>
  <c r="AB713" i="23" s="1"/>
  <c r="AB731" i="23" s="1"/>
  <c r="G43" i="23"/>
  <c r="T96" i="23"/>
  <c r="T78" i="23"/>
  <c r="L70" i="23"/>
  <c r="T65" i="23"/>
  <c r="Y67" i="23" s="1"/>
  <c r="AB67" i="23" s="1"/>
  <c r="AB85" i="23" s="1"/>
  <c r="AB103" i="23" s="1"/>
  <c r="AB121" i="23" s="1"/>
  <c r="AB139" i="23" s="1"/>
  <c r="AB157" i="23" s="1"/>
  <c r="AB175" i="23" s="1"/>
  <c r="AB193" i="23" s="1"/>
  <c r="AB211" i="23" s="1"/>
  <c r="AB229" i="23" s="1"/>
  <c r="AB247" i="23" s="1"/>
  <c r="AB265" i="23" s="1"/>
  <c r="AB283" i="23" s="1"/>
  <c r="AB301" i="23" s="1"/>
  <c r="AB319" i="23" s="1"/>
  <c r="AB337" i="23" s="1"/>
  <c r="AB355" i="23" s="1"/>
  <c r="AB373" i="23" s="1"/>
  <c r="AB391" i="23" s="1"/>
  <c r="AB409" i="23" s="1"/>
  <c r="AB427" i="23" s="1"/>
  <c r="AB445" i="23" s="1"/>
  <c r="AB463" i="23" s="1"/>
  <c r="AB481" i="23" s="1"/>
  <c r="AB499" i="23" s="1"/>
  <c r="AB517" i="23" s="1"/>
  <c r="AB535" i="23" s="1"/>
  <c r="AB553" i="23" s="1"/>
  <c r="AB571" i="23" s="1"/>
  <c r="AB589" i="23" s="1"/>
  <c r="AB607" i="23" s="1"/>
  <c r="AB625" i="23" s="1"/>
  <c r="AB643" i="23" s="1"/>
  <c r="AB661" i="23" s="1"/>
  <c r="AB679" i="23" s="1"/>
  <c r="AB697" i="23" s="1"/>
  <c r="AB715" i="23" s="1"/>
  <c r="L64" i="23"/>
  <c r="T56" i="23"/>
  <c r="Y58" i="23" s="1"/>
  <c r="AB58" i="23" s="1"/>
  <c r="AB76" i="23" s="1"/>
  <c r="AB94" i="23" s="1"/>
  <c r="AB112" i="23" s="1"/>
  <c r="AB130" i="23" s="1"/>
  <c r="AB148" i="23" s="1"/>
  <c r="AB166" i="23" s="1"/>
  <c r="AB184" i="23" s="1"/>
  <c r="AB202" i="23" s="1"/>
  <c r="AB220" i="23" s="1"/>
  <c r="AB238" i="23" s="1"/>
  <c r="AB256" i="23" s="1"/>
  <c r="AB274" i="23" s="1"/>
  <c r="AB292" i="23" s="1"/>
  <c r="AB310" i="23" s="1"/>
  <c r="AB328" i="23" s="1"/>
  <c r="AB346" i="23" s="1"/>
  <c r="AB364" i="23" s="1"/>
  <c r="AB382" i="23" s="1"/>
  <c r="AB400" i="23" s="1"/>
  <c r="AB418" i="23" s="1"/>
  <c r="AB436" i="23" s="1"/>
  <c r="AB454" i="23" s="1"/>
  <c r="AB472" i="23" s="1"/>
  <c r="AB490" i="23" s="1"/>
  <c r="AB508" i="23" s="1"/>
  <c r="AB526" i="23" s="1"/>
  <c r="AB544" i="23" s="1"/>
  <c r="AB562" i="23" s="1"/>
  <c r="AB580" i="23" s="1"/>
  <c r="AB598" i="23" s="1"/>
  <c r="AB616" i="23" s="1"/>
  <c r="AB634" i="23" s="1"/>
  <c r="AB652" i="23" s="1"/>
  <c r="AB670" i="23" s="1"/>
  <c r="AB688" i="23" s="1"/>
  <c r="AB706" i="23" s="1"/>
  <c r="AB724" i="23" s="1"/>
  <c r="T73" i="23"/>
  <c r="T68" i="23"/>
  <c r="Y70" i="23" s="1"/>
  <c r="AB70" i="23" s="1"/>
  <c r="AB88" i="23" s="1"/>
  <c r="AB106" i="23" s="1"/>
  <c r="AB124" i="23" s="1"/>
  <c r="AB142" i="23" s="1"/>
  <c r="AB160" i="23" s="1"/>
  <c r="AB178" i="23" s="1"/>
  <c r="AB196" i="23" s="1"/>
  <c r="AB214" i="23" s="1"/>
  <c r="AB232" i="23" s="1"/>
  <c r="AB250" i="23" s="1"/>
  <c r="AB268" i="23" s="1"/>
  <c r="AB286" i="23" s="1"/>
  <c r="AB304" i="23" s="1"/>
  <c r="AB322" i="23" s="1"/>
  <c r="AB340" i="23" s="1"/>
  <c r="AB358" i="23" s="1"/>
  <c r="AB376" i="23" s="1"/>
  <c r="AB394" i="23" s="1"/>
  <c r="AB412" i="23" s="1"/>
  <c r="AB430" i="23" s="1"/>
  <c r="AB448" i="23" s="1"/>
  <c r="AB466" i="23" s="1"/>
  <c r="AB484" i="23" s="1"/>
  <c r="AB502" i="23" s="1"/>
  <c r="AB520" i="23" s="1"/>
  <c r="AB538" i="23" s="1"/>
  <c r="AB556" i="23" s="1"/>
  <c r="AB574" i="23" s="1"/>
  <c r="AB592" i="23" s="1"/>
  <c r="AB610" i="23" s="1"/>
  <c r="AB628" i="23" s="1"/>
  <c r="AB646" i="23" s="1"/>
  <c r="AB664" i="23" s="1"/>
  <c r="AB682" i="23" s="1"/>
  <c r="AB700" i="23" s="1"/>
  <c r="AB718" i="23" s="1"/>
  <c r="L61" i="23"/>
  <c r="Y57" i="20"/>
  <c r="AB57" i="20" s="1"/>
  <c r="Y56" i="20"/>
  <c r="Y57" i="21"/>
  <c r="AB57" i="21" s="1"/>
  <c r="AB109" i="21" s="1"/>
  <c r="AB161" i="21" s="1"/>
  <c r="AB213" i="21" s="1"/>
  <c r="AB265" i="21" s="1"/>
  <c r="AB317" i="21" s="1"/>
  <c r="AB369" i="21" s="1"/>
  <c r="AB421" i="21" s="1"/>
  <c r="AB473" i="21" s="1"/>
  <c r="AB525" i="21" s="1"/>
  <c r="AB577" i="21" s="1"/>
  <c r="AB629" i="21" s="1"/>
  <c r="AB681" i="21" s="1"/>
  <c r="Y56" i="21"/>
  <c r="AB56" i="21" s="1"/>
  <c r="AB108" i="21" s="1"/>
  <c r="AB160" i="21" s="1"/>
  <c r="AB212" i="21" s="1"/>
  <c r="AB264" i="21" s="1"/>
  <c r="AB316" i="21" s="1"/>
  <c r="AB368" i="21" s="1"/>
  <c r="AB420" i="21" s="1"/>
  <c r="AB472" i="21" s="1"/>
  <c r="AB524" i="21" s="1"/>
  <c r="AB576" i="21" s="1"/>
  <c r="AB628" i="21" s="1"/>
  <c r="AB680" i="21" s="1"/>
  <c r="G27" i="23"/>
  <c r="J27" i="23" s="1"/>
  <c r="J28" i="23" s="1"/>
  <c r="G30" i="23"/>
  <c r="G31" i="23" s="1"/>
  <c r="T57" i="23"/>
  <c r="Y59" i="23" s="1"/>
  <c r="AB59" i="23" s="1"/>
  <c r="AB77" i="23" s="1"/>
  <c r="AB95" i="23" s="1"/>
  <c r="AB113" i="23" s="1"/>
  <c r="AB131" i="23" s="1"/>
  <c r="AB149" i="23" s="1"/>
  <c r="AB167" i="23" s="1"/>
  <c r="AB185" i="23" s="1"/>
  <c r="AB203" i="23" s="1"/>
  <c r="AB221" i="23" s="1"/>
  <c r="AB239" i="23" s="1"/>
  <c r="AB257" i="23" s="1"/>
  <c r="AB275" i="23" s="1"/>
  <c r="AB293" i="23" s="1"/>
  <c r="AB311" i="23" s="1"/>
  <c r="AB329" i="23" s="1"/>
  <c r="AB347" i="23" s="1"/>
  <c r="AB365" i="23" s="1"/>
  <c r="AB383" i="23" s="1"/>
  <c r="AB401" i="23" s="1"/>
  <c r="AB419" i="23" s="1"/>
  <c r="AB437" i="23" s="1"/>
  <c r="AB455" i="23" s="1"/>
  <c r="AB473" i="23" s="1"/>
  <c r="AB491" i="23" s="1"/>
  <c r="AB509" i="23" s="1"/>
  <c r="AB527" i="23" s="1"/>
  <c r="AB545" i="23" s="1"/>
  <c r="AB563" i="23" s="1"/>
  <c r="AB581" i="23" s="1"/>
  <c r="AB599" i="23" s="1"/>
  <c r="AB617" i="23" s="1"/>
  <c r="AB635" i="23" s="1"/>
  <c r="AB653" i="23" s="1"/>
  <c r="AB671" i="23" s="1"/>
  <c r="AB689" i="23" s="1"/>
  <c r="AB707" i="23" s="1"/>
  <c r="AB725" i="23" s="1"/>
  <c r="T74" i="23"/>
  <c r="T103" i="23"/>
  <c r="T97" i="23"/>
  <c r="T89" i="23"/>
  <c r="L87" i="23"/>
  <c r="L86" i="23"/>
  <c r="L85" i="23"/>
  <c r="L84" i="23"/>
  <c r="L83" i="23"/>
  <c r="L82" i="23"/>
  <c r="L81" i="23"/>
  <c r="L80" i="23"/>
  <c r="T76" i="23"/>
  <c r="T75" i="23"/>
  <c r="L69" i="23"/>
  <c r="L66" i="23"/>
  <c r="T98" i="23"/>
  <c r="T90" i="23"/>
  <c r="T104" i="23"/>
  <c r="T99" i="23"/>
  <c r="T91" i="23"/>
  <c r="L76" i="23"/>
  <c r="L75" i="23"/>
  <c r="L68" i="23"/>
  <c r="T67" i="23"/>
  <c r="Y69" i="23" s="1"/>
  <c r="AB69" i="23" s="1"/>
  <c r="AB87" i="23" s="1"/>
  <c r="AB105" i="23" s="1"/>
  <c r="AB123" i="23" s="1"/>
  <c r="AB141" i="23" s="1"/>
  <c r="AB159" i="23" s="1"/>
  <c r="AB177" i="23" s="1"/>
  <c r="AB195" i="23" s="1"/>
  <c r="AB213" i="23" s="1"/>
  <c r="AB231" i="23" s="1"/>
  <c r="AB249" i="23" s="1"/>
  <c r="AB267" i="23" s="1"/>
  <c r="AB285" i="23" s="1"/>
  <c r="AB303" i="23" s="1"/>
  <c r="AB321" i="23" s="1"/>
  <c r="AB339" i="23" s="1"/>
  <c r="AB357" i="23" s="1"/>
  <c r="AB375" i="23" s="1"/>
  <c r="AB393" i="23" s="1"/>
  <c r="AB411" i="23" s="1"/>
  <c r="AB429" i="23" s="1"/>
  <c r="AB447" i="23" s="1"/>
  <c r="AB465" i="23" s="1"/>
  <c r="AB483" i="23" s="1"/>
  <c r="AB501" i="23" s="1"/>
  <c r="AB519" i="23" s="1"/>
  <c r="AB537" i="23" s="1"/>
  <c r="AB555" i="23" s="1"/>
  <c r="AB573" i="23" s="1"/>
  <c r="AB591" i="23" s="1"/>
  <c r="AB609" i="23" s="1"/>
  <c r="AB627" i="23" s="1"/>
  <c r="AB645" i="23" s="1"/>
  <c r="AB663" i="23" s="1"/>
  <c r="AB681" i="23" s="1"/>
  <c r="AB699" i="23" s="1"/>
  <c r="AB717" i="23" s="1"/>
  <c r="L63" i="23"/>
  <c r="L60" i="23"/>
  <c r="T59" i="23"/>
  <c r="Y61" i="23" s="1"/>
  <c r="AB61" i="23" s="1"/>
  <c r="AB79" i="23" s="1"/>
  <c r="AB97" i="23" s="1"/>
  <c r="AB115" i="23" s="1"/>
  <c r="AB133" i="23" s="1"/>
  <c r="AB151" i="23" s="1"/>
  <c r="AB169" i="23" s="1"/>
  <c r="AB187" i="23" s="1"/>
  <c r="AB205" i="23" s="1"/>
  <c r="AB223" i="23" s="1"/>
  <c r="AB241" i="23" s="1"/>
  <c r="AB259" i="23" s="1"/>
  <c r="AB277" i="23" s="1"/>
  <c r="AB295" i="23" s="1"/>
  <c r="AB313" i="23" s="1"/>
  <c r="AB331" i="23" s="1"/>
  <c r="AB349" i="23" s="1"/>
  <c r="AB367" i="23" s="1"/>
  <c r="AB385" i="23" s="1"/>
  <c r="AB403" i="23" s="1"/>
  <c r="AB421" i="23" s="1"/>
  <c r="AB439" i="23" s="1"/>
  <c r="AB457" i="23" s="1"/>
  <c r="AB475" i="23" s="1"/>
  <c r="AB493" i="23" s="1"/>
  <c r="AB511" i="23" s="1"/>
  <c r="AB529" i="23" s="1"/>
  <c r="AB547" i="23" s="1"/>
  <c r="AB565" i="23" s="1"/>
  <c r="AB583" i="23" s="1"/>
  <c r="AB601" i="23" s="1"/>
  <c r="AB619" i="23" s="1"/>
  <c r="AB637" i="23" s="1"/>
  <c r="AB655" i="23" s="1"/>
  <c r="AB673" i="23" s="1"/>
  <c r="AB691" i="23" s="1"/>
  <c r="AB709" i="23" s="1"/>
  <c r="AB727" i="23" s="1"/>
  <c r="L57" i="23"/>
  <c r="G26" i="23"/>
  <c r="J25" i="23" s="1"/>
  <c r="J26" i="23" s="1"/>
  <c r="T100" i="23"/>
  <c r="T92" i="23"/>
  <c r="T105" i="23"/>
  <c r="T101" i="23"/>
  <c r="T93" i="23"/>
  <c r="T72" i="23"/>
  <c r="L65" i="23"/>
  <c r="T64" i="23"/>
  <c r="Y66" i="23" s="1"/>
  <c r="AB66" i="23" s="1"/>
  <c r="AB84" i="23" s="1"/>
  <c r="AB102" i="23" s="1"/>
  <c r="AB120" i="23" s="1"/>
  <c r="AB138" i="23" s="1"/>
  <c r="AB156" i="23" s="1"/>
  <c r="AB174" i="23" s="1"/>
  <c r="AB192" i="23" s="1"/>
  <c r="AB210" i="23" s="1"/>
  <c r="AB228" i="23" s="1"/>
  <c r="AB246" i="23" s="1"/>
  <c r="AB264" i="23" s="1"/>
  <c r="AB282" i="23" s="1"/>
  <c r="AB300" i="23" s="1"/>
  <c r="AB318" i="23" s="1"/>
  <c r="AB336" i="23" s="1"/>
  <c r="AB354" i="23" s="1"/>
  <c r="AB372" i="23" s="1"/>
  <c r="AB390" i="23" s="1"/>
  <c r="AB408" i="23" s="1"/>
  <c r="AB426" i="23" s="1"/>
  <c r="AB444" i="23" s="1"/>
  <c r="AB462" i="23" s="1"/>
  <c r="AB480" i="23" s="1"/>
  <c r="AB498" i="23" s="1"/>
  <c r="AB516" i="23" s="1"/>
  <c r="AB534" i="23" s="1"/>
  <c r="AB552" i="23" s="1"/>
  <c r="AB570" i="23" s="1"/>
  <c r="AB588" i="23" s="1"/>
  <c r="AB606" i="23" s="1"/>
  <c r="AB624" i="23" s="1"/>
  <c r="AB642" i="23" s="1"/>
  <c r="AB660" i="23" s="1"/>
  <c r="AB678" i="23" s="1"/>
  <c r="AB696" i="23" s="1"/>
  <c r="AB714" i="23" s="1"/>
  <c r="L62" i="23"/>
  <c r="T61" i="23"/>
  <c r="Y63" i="23" s="1"/>
  <c r="AB63" i="23" s="1"/>
  <c r="AB81" i="23" s="1"/>
  <c r="AB99" i="23" s="1"/>
  <c r="AB117" i="23" s="1"/>
  <c r="AB135" i="23" s="1"/>
  <c r="AB153" i="23" s="1"/>
  <c r="AB171" i="23" s="1"/>
  <c r="AB189" i="23" s="1"/>
  <c r="AB207" i="23" s="1"/>
  <c r="AB225" i="23" s="1"/>
  <c r="AB243" i="23" s="1"/>
  <c r="AB261" i="23" s="1"/>
  <c r="AB279" i="23" s="1"/>
  <c r="AB297" i="23" s="1"/>
  <c r="AB315" i="23" s="1"/>
  <c r="AB333" i="23" s="1"/>
  <c r="AB351" i="23" s="1"/>
  <c r="AB369" i="23" s="1"/>
  <c r="AB387" i="23" s="1"/>
  <c r="AB405" i="23" s="1"/>
  <c r="AB423" i="23" s="1"/>
  <c r="AB441" i="23" s="1"/>
  <c r="AB459" i="23" s="1"/>
  <c r="AB477" i="23" s="1"/>
  <c r="AB495" i="23" s="1"/>
  <c r="AB513" i="23" s="1"/>
  <c r="AB531" i="23" s="1"/>
  <c r="AB549" i="23" s="1"/>
  <c r="AB567" i="23" s="1"/>
  <c r="AB585" i="23" s="1"/>
  <c r="AB603" i="23" s="1"/>
  <c r="AB621" i="23" s="1"/>
  <c r="AB639" i="23" s="1"/>
  <c r="AB657" i="23" s="1"/>
  <c r="AB675" i="23" s="1"/>
  <c r="AB693" i="23" s="1"/>
  <c r="AB711" i="23" s="1"/>
  <c r="AB729" i="23" s="1"/>
  <c r="T58" i="23"/>
  <c r="Y60" i="23" s="1"/>
  <c r="AB60" i="23" s="1"/>
  <c r="AB78" i="23" s="1"/>
  <c r="AB96" i="23" s="1"/>
  <c r="AB114" i="23" s="1"/>
  <c r="AB132" i="23" s="1"/>
  <c r="AB150" i="23" s="1"/>
  <c r="AB168" i="23" s="1"/>
  <c r="AB186" i="23" s="1"/>
  <c r="AB204" i="23" s="1"/>
  <c r="AB222" i="23" s="1"/>
  <c r="AB240" i="23" s="1"/>
  <c r="AB258" i="23" s="1"/>
  <c r="AB276" i="23" s="1"/>
  <c r="AB294" i="23" s="1"/>
  <c r="AB312" i="23" s="1"/>
  <c r="AB330" i="23" s="1"/>
  <c r="AB348" i="23" s="1"/>
  <c r="AB366" i="23" s="1"/>
  <c r="AB384" i="23" s="1"/>
  <c r="AB402" i="23" s="1"/>
  <c r="AB420" i="23" s="1"/>
  <c r="AB438" i="23" s="1"/>
  <c r="AB456" i="23" s="1"/>
  <c r="AB474" i="23" s="1"/>
  <c r="AB492" i="23" s="1"/>
  <c r="AB510" i="23" s="1"/>
  <c r="AB528" i="23" s="1"/>
  <c r="AB546" i="23" s="1"/>
  <c r="AB564" i="23" s="1"/>
  <c r="AB582" i="23" s="1"/>
  <c r="AB600" i="23" s="1"/>
  <c r="AB618" i="23" s="1"/>
  <c r="AB636" i="23" s="1"/>
  <c r="AB654" i="23" s="1"/>
  <c r="AB672" i="23" s="1"/>
  <c r="AB690" i="23" s="1"/>
  <c r="AB708" i="23" s="1"/>
  <c r="AB726" i="23" s="1"/>
  <c r="L56" i="23"/>
  <c r="T94" i="23"/>
  <c r="A74" i="23"/>
  <c r="L73" i="23"/>
  <c r="T71" i="23"/>
  <c r="Y73" i="23" s="1"/>
  <c r="AB73" i="23" s="1"/>
  <c r="AB91" i="23" s="1"/>
  <c r="AB109" i="23" s="1"/>
  <c r="AB127" i="23" s="1"/>
  <c r="AB145" i="23" s="1"/>
  <c r="AB163" i="23" s="1"/>
  <c r="AB181" i="23" s="1"/>
  <c r="AB199" i="23" s="1"/>
  <c r="AB217" i="23" s="1"/>
  <c r="AB235" i="23" s="1"/>
  <c r="AB253" i="23" s="1"/>
  <c r="AB271" i="23" s="1"/>
  <c r="AB289" i="23" s="1"/>
  <c r="AB307" i="23" s="1"/>
  <c r="AB325" i="23" s="1"/>
  <c r="AB343" i="23" s="1"/>
  <c r="AB361" i="23" s="1"/>
  <c r="AB379" i="23" s="1"/>
  <c r="AB397" i="23" s="1"/>
  <c r="AB415" i="23" s="1"/>
  <c r="AB433" i="23" s="1"/>
  <c r="AB451" i="23" s="1"/>
  <c r="AB469" i="23" s="1"/>
  <c r="AB487" i="23" s="1"/>
  <c r="AB505" i="23" s="1"/>
  <c r="AB523" i="23" s="1"/>
  <c r="AB541" i="23" s="1"/>
  <c r="AB559" i="23" s="1"/>
  <c r="AB577" i="23" s="1"/>
  <c r="AB595" i="23" s="1"/>
  <c r="AB613" i="23" s="1"/>
  <c r="AB631" i="23" s="1"/>
  <c r="AB649" i="23" s="1"/>
  <c r="AB667" i="23" s="1"/>
  <c r="AB685" i="23" s="1"/>
  <c r="AB703" i="23" s="1"/>
  <c r="AB721" i="23" s="1"/>
  <c r="T70" i="23"/>
  <c r="Y72" i="23" s="1"/>
  <c r="AB72" i="23" s="1"/>
  <c r="AB90" i="23" s="1"/>
  <c r="AB108" i="23" s="1"/>
  <c r="AB126" i="23" s="1"/>
  <c r="AB144" i="23" s="1"/>
  <c r="AB162" i="23" s="1"/>
  <c r="AB180" i="23" s="1"/>
  <c r="AB198" i="23" s="1"/>
  <c r="AB216" i="23" s="1"/>
  <c r="AB234" i="23" s="1"/>
  <c r="AB252" i="23" s="1"/>
  <c r="AB270" i="23" s="1"/>
  <c r="AB288" i="23" s="1"/>
  <c r="AB306" i="23" s="1"/>
  <c r="AB324" i="23" s="1"/>
  <c r="AB342" i="23" s="1"/>
  <c r="AB360" i="23" s="1"/>
  <c r="AB378" i="23" s="1"/>
  <c r="AB396" i="23" s="1"/>
  <c r="AB414" i="23" s="1"/>
  <c r="AB432" i="23" s="1"/>
  <c r="AB450" i="23" s="1"/>
  <c r="AB468" i="23" s="1"/>
  <c r="AB486" i="23" s="1"/>
  <c r="AB504" i="23" s="1"/>
  <c r="AB522" i="23" s="1"/>
  <c r="AB540" i="23" s="1"/>
  <c r="AB558" i="23" s="1"/>
  <c r="AB576" i="23" s="1"/>
  <c r="AB594" i="23" s="1"/>
  <c r="AB612" i="23" s="1"/>
  <c r="AB630" i="23" s="1"/>
  <c r="AB648" i="23" s="1"/>
  <c r="AB666" i="23" s="1"/>
  <c r="AB684" i="23" s="1"/>
  <c r="AB702" i="23" s="1"/>
  <c r="AB720" i="23" s="1"/>
  <c r="L67" i="23"/>
  <c r="T66" i="23"/>
  <c r="Y68" i="23" s="1"/>
  <c r="AB68" i="23" s="1"/>
  <c r="AB86" i="23" s="1"/>
  <c r="AB104" i="23" s="1"/>
  <c r="AB122" i="23" s="1"/>
  <c r="AB140" i="23" s="1"/>
  <c r="AB158" i="23" s="1"/>
  <c r="AB176" i="23" s="1"/>
  <c r="AB194" i="23" s="1"/>
  <c r="AB212" i="23" s="1"/>
  <c r="AB230" i="23" s="1"/>
  <c r="AB248" i="23" s="1"/>
  <c r="AB266" i="23" s="1"/>
  <c r="AB284" i="23" s="1"/>
  <c r="AB302" i="23" s="1"/>
  <c r="AB320" i="23" s="1"/>
  <c r="AB338" i="23" s="1"/>
  <c r="AB356" i="23" s="1"/>
  <c r="AB374" i="23" s="1"/>
  <c r="AB392" i="23" s="1"/>
  <c r="AB410" i="23" s="1"/>
  <c r="AB428" i="23" s="1"/>
  <c r="AB446" i="23" s="1"/>
  <c r="AB464" i="23" s="1"/>
  <c r="AB482" i="23" s="1"/>
  <c r="AB500" i="23" s="1"/>
  <c r="AB518" i="23" s="1"/>
  <c r="AB536" i="23" s="1"/>
  <c r="AB554" i="23" s="1"/>
  <c r="AB572" i="23" s="1"/>
  <c r="AB590" i="23" s="1"/>
  <c r="AB608" i="23" s="1"/>
  <c r="AB626" i="23" s="1"/>
  <c r="AB644" i="23" s="1"/>
  <c r="AB662" i="23" s="1"/>
  <c r="AB680" i="23" s="1"/>
  <c r="AB698" i="23" s="1"/>
  <c r="AB716" i="23" s="1"/>
  <c r="L59" i="23"/>
  <c r="T102" i="23"/>
  <c r="T95" i="23"/>
  <c r="T87" i="23"/>
  <c r="T86" i="23"/>
  <c r="T85" i="23"/>
  <c r="T84" i="23"/>
  <c r="T83" i="23"/>
  <c r="T82" i="23"/>
  <c r="T81" i="23"/>
  <c r="T80" i="23"/>
  <c r="L72" i="23"/>
  <c r="T69" i="23"/>
  <c r="Y71" i="23" s="1"/>
  <c r="AB71" i="23" s="1"/>
  <c r="AB89" i="23" s="1"/>
  <c r="AB107" i="23" s="1"/>
  <c r="AB125" i="23" s="1"/>
  <c r="AB143" i="23" s="1"/>
  <c r="AB161" i="23" s="1"/>
  <c r="AB179" i="23" s="1"/>
  <c r="AB197" i="23" s="1"/>
  <c r="AB215" i="23" s="1"/>
  <c r="AB233" i="23" s="1"/>
  <c r="AB251" i="23" s="1"/>
  <c r="AB269" i="23" s="1"/>
  <c r="AB287" i="23" s="1"/>
  <c r="AB305" i="23" s="1"/>
  <c r="AB323" i="23" s="1"/>
  <c r="AB341" i="23" s="1"/>
  <c r="AB359" i="23" s="1"/>
  <c r="AB377" i="23" s="1"/>
  <c r="AB395" i="23" s="1"/>
  <c r="AB413" i="23" s="1"/>
  <c r="AB431" i="23" s="1"/>
  <c r="AB449" i="23" s="1"/>
  <c r="AB467" i="23" s="1"/>
  <c r="AB485" i="23" s="1"/>
  <c r="AB503" i="23" s="1"/>
  <c r="AB521" i="23" s="1"/>
  <c r="AB539" i="23" s="1"/>
  <c r="AB557" i="23" s="1"/>
  <c r="AB575" i="23" s="1"/>
  <c r="AB593" i="23" s="1"/>
  <c r="AB611" i="23" s="1"/>
  <c r="AB629" i="23" s="1"/>
  <c r="AB647" i="23" s="1"/>
  <c r="AB665" i="23" s="1"/>
  <c r="AB683" i="23" s="1"/>
  <c r="AB701" i="23" s="1"/>
  <c r="AB719" i="23" s="1"/>
  <c r="T60" i="23"/>
  <c r="Y62" i="23" s="1"/>
  <c r="AB62" i="23" s="1"/>
  <c r="AB80" i="23" s="1"/>
  <c r="AB98" i="23" s="1"/>
  <c r="AB116" i="23" s="1"/>
  <c r="AB134" i="23" s="1"/>
  <c r="AB152" i="23" s="1"/>
  <c r="AB170" i="23" s="1"/>
  <c r="AB188" i="23" s="1"/>
  <c r="AB206" i="23" s="1"/>
  <c r="AB224" i="23" s="1"/>
  <c r="AB242" i="23" s="1"/>
  <c r="AB260" i="23" s="1"/>
  <c r="AB278" i="23" s="1"/>
  <c r="AB296" i="23" s="1"/>
  <c r="AB314" i="23" s="1"/>
  <c r="AB332" i="23" s="1"/>
  <c r="AB350" i="23" s="1"/>
  <c r="AB368" i="23" s="1"/>
  <c r="AB386" i="23" s="1"/>
  <c r="AB404" i="23" s="1"/>
  <c r="AB422" i="23" s="1"/>
  <c r="AB440" i="23" s="1"/>
  <c r="AB458" i="23" s="1"/>
  <c r="AB476" i="23" s="1"/>
  <c r="AB494" i="23" s="1"/>
  <c r="AB512" i="23" s="1"/>
  <c r="AB530" i="23" s="1"/>
  <c r="AB548" i="23" s="1"/>
  <c r="AB566" i="23" s="1"/>
  <c r="AB584" i="23" s="1"/>
  <c r="AB602" i="23" s="1"/>
  <c r="AB620" i="23" s="1"/>
  <c r="AB638" i="23" s="1"/>
  <c r="AB656" i="23" s="1"/>
  <c r="AB674" i="23" s="1"/>
  <c r="AB692" i="23" s="1"/>
  <c r="AB710" i="23" s="1"/>
  <c r="AB728" i="23" s="1"/>
  <c r="L71" i="23"/>
  <c r="L78" i="23"/>
  <c r="T88" i="23"/>
  <c r="G10" i="23"/>
  <c r="G65" i="23" s="1"/>
  <c r="X52" i="23"/>
  <c r="W57" i="23" s="1"/>
  <c r="W75" i="23" s="1"/>
  <c r="W93" i="23" s="1"/>
  <c r="W111" i="23" s="1"/>
  <c r="W129" i="23" s="1"/>
  <c r="W147" i="23" s="1"/>
  <c r="W165" i="23" s="1"/>
  <c r="W183" i="23" s="1"/>
  <c r="W201" i="23" s="1"/>
  <c r="W219" i="23" s="1"/>
  <c r="W237" i="23" s="1"/>
  <c r="W255" i="23" s="1"/>
  <c r="W273" i="23" s="1"/>
  <c r="W291" i="23" s="1"/>
  <c r="W309" i="23" s="1"/>
  <c r="W327" i="23" s="1"/>
  <c r="W345" i="23" s="1"/>
  <c r="W363" i="23" s="1"/>
  <c r="W381" i="23" s="1"/>
  <c r="W399" i="23" s="1"/>
  <c r="W417" i="23" s="1"/>
  <c r="W435" i="23" s="1"/>
  <c r="W453" i="23" s="1"/>
  <c r="W471" i="23" s="1"/>
  <c r="W489" i="23" s="1"/>
  <c r="W507" i="23" s="1"/>
  <c r="W525" i="23" s="1"/>
  <c r="W543" i="23" s="1"/>
  <c r="W561" i="23" s="1"/>
  <c r="W579" i="23" s="1"/>
  <c r="W597" i="23" s="1"/>
  <c r="W615" i="23" s="1"/>
  <c r="W633" i="23" s="1"/>
  <c r="W651" i="23" s="1"/>
  <c r="W669" i="23" s="1"/>
  <c r="W687" i="23" s="1"/>
  <c r="W705" i="23" s="1"/>
  <c r="W723" i="23" s="1"/>
  <c r="L58" i="23"/>
  <c r="L79" i="23"/>
  <c r="G51" i="23"/>
  <c r="G52" i="23" s="1"/>
  <c r="T62" i="23"/>
  <c r="Y64" i="23" s="1"/>
  <c r="AB64" i="23" s="1"/>
  <c r="AB82" i="23" s="1"/>
  <c r="AB100" i="23" s="1"/>
  <c r="AB118" i="23" s="1"/>
  <c r="AB136" i="23" s="1"/>
  <c r="AB154" i="23" s="1"/>
  <c r="AB172" i="23" s="1"/>
  <c r="AB190" i="23" s="1"/>
  <c r="AB208" i="23" s="1"/>
  <c r="AB226" i="23" s="1"/>
  <c r="AB244" i="23" s="1"/>
  <c r="AB262" i="23" s="1"/>
  <c r="AB280" i="23" s="1"/>
  <c r="AB298" i="23" s="1"/>
  <c r="AB316" i="23" s="1"/>
  <c r="AB334" i="23" s="1"/>
  <c r="AB352" i="23" s="1"/>
  <c r="AB370" i="23" s="1"/>
  <c r="AB388" i="23" s="1"/>
  <c r="AB406" i="23" s="1"/>
  <c r="AB424" i="23" s="1"/>
  <c r="AB442" i="23" s="1"/>
  <c r="AB460" i="23" s="1"/>
  <c r="AB478" i="23" s="1"/>
  <c r="AB496" i="23" s="1"/>
  <c r="AB514" i="23" s="1"/>
  <c r="AB532" i="23" s="1"/>
  <c r="AB550" i="23" s="1"/>
  <c r="AB568" i="23" s="1"/>
  <c r="AB586" i="23" s="1"/>
  <c r="AB604" i="23" s="1"/>
  <c r="AB622" i="23" s="1"/>
  <c r="AB640" i="23" s="1"/>
  <c r="AB658" i="23" s="1"/>
  <c r="AB676" i="23" s="1"/>
  <c r="AB694" i="23" s="1"/>
  <c r="AB712" i="23" s="1"/>
  <c r="AB730" i="23" s="1"/>
  <c r="L74" i="23"/>
  <c r="L77" i="23"/>
  <c r="T79" i="23"/>
  <c r="G35" i="23"/>
  <c r="G45" i="23"/>
  <c r="G46" i="23" s="1"/>
  <c r="G61" i="23" s="1"/>
  <c r="AC155" i="21"/>
  <c r="S96" i="21"/>
  <c r="S95" i="21"/>
  <c r="S94" i="21"/>
  <c r="S93" i="21"/>
  <c r="S92" i="21"/>
  <c r="S91" i="21"/>
  <c r="S90" i="21"/>
  <c r="S89" i="21"/>
  <c r="S88" i="21"/>
  <c r="S87" i="21"/>
  <c r="S86" i="21"/>
  <c r="S85" i="21"/>
  <c r="S84" i="21"/>
  <c r="S83" i="21"/>
  <c r="S82" i="21"/>
  <c r="S81" i="21"/>
  <c r="S80" i="21"/>
  <c r="A80" i="21"/>
  <c r="S79" i="21"/>
  <c r="S78" i="21"/>
  <c r="S77" i="21"/>
  <c r="S76" i="21"/>
  <c r="S75" i="21"/>
  <c r="S74" i="21"/>
  <c r="S73" i="21"/>
  <c r="S72" i="21"/>
  <c r="G72" i="21"/>
  <c r="S71" i="21"/>
  <c r="S70" i="21"/>
  <c r="S69" i="21"/>
  <c r="S68" i="21"/>
  <c r="I68" i="21"/>
  <c r="S67" i="21"/>
  <c r="I67" i="21"/>
  <c r="S66" i="21"/>
  <c r="I66" i="21"/>
  <c r="S65" i="21"/>
  <c r="I65" i="21"/>
  <c r="S64" i="21"/>
  <c r="I64" i="21"/>
  <c r="S63" i="21"/>
  <c r="I63" i="21"/>
  <c r="S62" i="21"/>
  <c r="I62" i="21"/>
  <c r="G62" i="21"/>
  <c r="S61" i="21"/>
  <c r="I61" i="21"/>
  <c r="S60" i="21"/>
  <c r="I60" i="21"/>
  <c r="G60" i="21"/>
  <c r="S59" i="21"/>
  <c r="I59" i="21"/>
  <c r="S58" i="21"/>
  <c r="I58" i="21"/>
  <c r="S57" i="21"/>
  <c r="I57" i="21"/>
  <c r="S56" i="21"/>
  <c r="I56" i="21"/>
  <c r="P55" i="21"/>
  <c r="Q53" i="21"/>
  <c r="G44" i="21"/>
  <c r="G29" i="21"/>
  <c r="G45" i="21" s="1"/>
  <c r="G24" i="21"/>
  <c r="G20" i="21"/>
  <c r="G19" i="21"/>
  <c r="J17" i="21"/>
  <c r="G9" i="21"/>
  <c r="T94" i="21" s="1"/>
  <c r="Y96" i="21" s="1"/>
  <c r="AB96" i="21" s="1"/>
  <c r="AB148" i="21" s="1"/>
  <c r="AB200" i="21" s="1"/>
  <c r="AB252" i="21" s="1"/>
  <c r="AB304" i="21" s="1"/>
  <c r="AB356" i="21" s="1"/>
  <c r="AB408" i="21" s="1"/>
  <c r="AB460" i="21" s="1"/>
  <c r="AB512" i="21" s="1"/>
  <c r="AB564" i="21" s="1"/>
  <c r="AB616" i="21" s="1"/>
  <c r="AB668" i="21" s="1"/>
  <c r="AB720" i="21" s="1"/>
  <c r="Y8" i="21"/>
  <c r="Y9" i="21" s="1"/>
  <c r="Y10" i="21" s="1"/>
  <c r="Y11" i="21" s="1"/>
  <c r="Y12" i="21" s="1"/>
  <c r="Y13" i="21" s="1"/>
  <c r="Y14" i="21" s="1"/>
  <c r="Y15" i="21" s="1"/>
  <c r="Y16" i="21" s="1"/>
  <c r="Y17" i="21" s="1"/>
  <c r="Y18" i="21" s="1"/>
  <c r="Y19" i="21" s="1"/>
  <c r="Y20" i="21" s="1"/>
  <c r="Y21" i="21" s="1"/>
  <c r="Y22" i="21" s="1"/>
  <c r="Y23" i="21" s="1"/>
  <c r="Y24" i="21" s="1"/>
  <c r="Y25" i="21" s="1"/>
  <c r="Y26" i="21" s="1"/>
  <c r="Y27" i="21" s="1"/>
  <c r="Y28" i="21" s="1"/>
  <c r="Y29" i="21" s="1"/>
  <c r="Y30" i="21" s="1"/>
  <c r="Y31" i="21" s="1"/>
  <c r="Y32" i="21" s="1"/>
  <c r="Y33" i="21" s="1"/>
  <c r="Y34" i="21" s="1"/>
  <c r="Y35" i="21" s="1"/>
  <c r="Y36" i="21" s="1"/>
  <c r="Y37" i="21" s="1"/>
  <c r="Y38" i="21" s="1"/>
  <c r="Y39" i="21" s="1"/>
  <c r="Y40" i="21" s="1"/>
  <c r="Y41" i="21" s="1"/>
  <c r="Y42" i="21" s="1"/>
  <c r="Y43" i="21" s="1"/>
  <c r="Y44" i="21" s="1"/>
  <c r="Y45" i="21" s="1"/>
  <c r="Y46" i="21" s="1"/>
  <c r="Y47" i="21" s="1"/>
  <c r="V8" i="21"/>
  <c r="V9" i="21" s="1"/>
  <c r="V10" i="21" s="1"/>
  <c r="V11" i="21" s="1"/>
  <c r="V12" i="21" s="1"/>
  <c r="V13" i="21" s="1"/>
  <c r="V14" i="21" s="1"/>
  <c r="V15" i="21" s="1"/>
  <c r="V16" i="21" s="1"/>
  <c r="V17" i="21" s="1"/>
  <c r="V18" i="21" s="1"/>
  <c r="V19" i="21" s="1"/>
  <c r="V20" i="21" s="1"/>
  <c r="V21" i="21" s="1"/>
  <c r="V22" i="21" s="1"/>
  <c r="Q8" i="21"/>
  <c r="Q9" i="21" s="1"/>
  <c r="Q10" i="21" s="1"/>
  <c r="Q11" i="21" s="1"/>
  <c r="Q12" i="21" s="1"/>
  <c r="Q13" i="21" s="1"/>
  <c r="Q14" i="21" s="1"/>
  <c r="Q15" i="21" s="1"/>
  <c r="Q16" i="21" s="1"/>
  <c r="Q17" i="21" s="1"/>
  <c r="Q18" i="21" s="1"/>
  <c r="Q19" i="21" s="1"/>
  <c r="Q20" i="21" s="1"/>
  <c r="Q21" i="21" s="1"/>
  <c r="Q22" i="21" s="1"/>
  <c r="Q23" i="21" s="1"/>
  <c r="Q24" i="21" s="1"/>
  <c r="Q25" i="21" s="1"/>
  <c r="Q26" i="21" s="1"/>
  <c r="Q27" i="21" s="1"/>
  <c r="Q28" i="21" s="1"/>
  <c r="Q29" i="21" s="1"/>
  <c r="Q30" i="21" s="1"/>
  <c r="Q31" i="21" s="1"/>
  <c r="Q32" i="21" s="1"/>
  <c r="Q33" i="21" s="1"/>
  <c r="N8" i="21"/>
  <c r="N9" i="21" s="1"/>
  <c r="N10" i="21" s="1"/>
  <c r="N11" i="21" s="1"/>
  <c r="N12" i="21" s="1"/>
  <c r="N13" i="21" s="1"/>
  <c r="N14" i="21" s="1"/>
  <c r="N15" i="21" s="1"/>
  <c r="N16" i="21" s="1"/>
  <c r="N17" i="21" s="1"/>
  <c r="N18" i="21" s="1"/>
  <c r="N19" i="21" s="1"/>
  <c r="N20" i="21" s="1"/>
  <c r="N21" i="21" s="1"/>
  <c r="N22" i="21" s="1"/>
  <c r="N23" i="21" s="1"/>
  <c r="N24" i="21" s="1"/>
  <c r="N25" i="21" s="1"/>
  <c r="N26" i="21" s="1"/>
  <c r="G7" i="21"/>
  <c r="G1" i="21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G20" i="20"/>
  <c r="G23" i="20" s="1"/>
  <c r="G9" i="20"/>
  <c r="G26" i="20" s="1"/>
  <c r="A80" i="20"/>
  <c r="S70" i="20"/>
  <c r="S69" i="20"/>
  <c r="S68" i="20"/>
  <c r="I68" i="20"/>
  <c r="S67" i="20"/>
  <c r="I67" i="20"/>
  <c r="S66" i="20"/>
  <c r="I66" i="20"/>
  <c r="S65" i="20"/>
  <c r="I65" i="20"/>
  <c r="S64" i="20"/>
  <c r="I64" i="20"/>
  <c r="S63" i="20"/>
  <c r="I63" i="20"/>
  <c r="S62" i="20"/>
  <c r="I62" i="20"/>
  <c r="S61" i="20"/>
  <c r="I61" i="20"/>
  <c r="S60" i="20"/>
  <c r="I60" i="20"/>
  <c r="S59" i="20"/>
  <c r="I59" i="20"/>
  <c r="S58" i="20"/>
  <c r="I58" i="20"/>
  <c r="S57" i="20"/>
  <c r="I57" i="20"/>
  <c r="S56" i="20"/>
  <c r="I56" i="20"/>
  <c r="P55" i="20"/>
  <c r="Q53" i="20"/>
  <c r="G45" i="20"/>
  <c r="G44" i="20"/>
  <c r="G29" i="20"/>
  <c r="G24" i="20"/>
  <c r="G19" i="20"/>
  <c r="J17" i="20"/>
  <c r="Y8" i="20"/>
  <c r="Y9" i="20" s="1"/>
  <c r="Y10" i="20" s="1"/>
  <c r="Y11" i="20" s="1"/>
  <c r="Y12" i="20" s="1"/>
  <c r="Y13" i="20" s="1"/>
  <c r="Y14" i="20" s="1"/>
  <c r="Y15" i="20" s="1"/>
  <c r="Y16" i="20" s="1"/>
  <c r="Y17" i="20" s="1"/>
  <c r="Y18" i="20" s="1"/>
  <c r="Y19" i="20" s="1"/>
  <c r="Y20" i="20" s="1"/>
  <c r="Y21" i="20" s="1"/>
  <c r="Y22" i="20" s="1"/>
  <c r="Y23" i="20" s="1"/>
  <c r="Y24" i="20" s="1"/>
  <c r="Y25" i="20" s="1"/>
  <c r="Y26" i="20" s="1"/>
  <c r="Y27" i="20" s="1"/>
  <c r="Y28" i="20" s="1"/>
  <c r="Y29" i="20" s="1"/>
  <c r="Y30" i="20" s="1"/>
  <c r="Y31" i="20" s="1"/>
  <c r="Y32" i="20" s="1"/>
  <c r="Y33" i="20" s="1"/>
  <c r="Y34" i="20" s="1"/>
  <c r="Y35" i="20" s="1"/>
  <c r="Y36" i="20" s="1"/>
  <c r="Y37" i="20" s="1"/>
  <c r="Y38" i="20" s="1"/>
  <c r="Y39" i="20" s="1"/>
  <c r="Y40" i="20" s="1"/>
  <c r="Y41" i="20" s="1"/>
  <c r="Y42" i="20" s="1"/>
  <c r="Y43" i="20" s="1"/>
  <c r="Y44" i="20" s="1"/>
  <c r="Y45" i="20" s="1"/>
  <c r="Y46" i="20" s="1"/>
  <c r="Y47" i="20" s="1"/>
  <c r="V8" i="20"/>
  <c r="V9" i="20" s="1"/>
  <c r="V10" i="20" s="1"/>
  <c r="V11" i="20" s="1"/>
  <c r="V12" i="20" s="1"/>
  <c r="V13" i="20" s="1"/>
  <c r="V14" i="20" s="1"/>
  <c r="V15" i="20" s="1"/>
  <c r="V16" i="20" s="1"/>
  <c r="V17" i="20" s="1"/>
  <c r="V18" i="20" s="1"/>
  <c r="V19" i="20" s="1"/>
  <c r="V20" i="20" s="1"/>
  <c r="V21" i="20" s="1"/>
  <c r="V22" i="20" s="1"/>
  <c r="Q8" i="20"/>
  <c r="Q9" i="20" s="1"/>
  <c r="Q10" i="20" s="1"/>
  <c r="Q11" i="20" s="1"/>
  <c r="Q12" i="20" s="1"/>
  <c r="Q13" i="20" s="1"/>
  <c r="Q14" i="20" s="1"/>
  <c r="Q15" i="20" s="1"/>
  <c r="Q16" i="20" s="1"/>
  <c r="Q17" i="20" s="1"/>
  <c r="Q18" i="20" s="1"/>
  <c r="Q19" i="20" s="1"/>
  <c r="Q20" i="20" s="1"/>
  <c r="Q21" i="20" s="1"/>
  <c r="Q22" i="20" s="1"/>
  <c r="Q23" i="20" s="1"/>
  <c r="Q24" i="20" s="1"/>
  <c r="Q25" i="20" s="1"/>
  <c r="Q26" i="20" s="1"/>
  <c r="Q27" i="20" s="1"/>
  <c r="Q28" i="20" s="1"/>
  <c r="Q29" i="20" s="1"/>
  <c r="Q30" i="20" s="1"/>
  <c r="Q31" i="20" s="1"/>
  <c r="Q32" i="20" s="1"/>
  <c r="Q33" i="20" s="1"/>
  <c r="N8" i="20"/>
  <c r="N9" i="20" s="1"/>
  <c r="N10" i="20" s="1"/>
  <c r="N11" i="20" s="1"/>
  <c r="N12" i="20" s="1"/>
  <c r="N13" i="20" s="1"/>
  <c r="N14" i="20" s="1"/>
  <c r="N15" i="20" s="1"/>
  <c r="N16" i="20" s="1"/>
  <c r="N17" i="20" s="1"/>
  <c r="N18" i="20" s="1"/>
  <c r="N19" i="20" s="1"/>
  <c r="N20" i="20" s="1"/>
  <c r="N21" i="20" s="1"/>
  <c r="N22" i="20" s="1"/>
  <c r="N23" i="20" s="1"/>
  <c r="N24" i="20" s="1"/>
  <c r="N25" i="20" s="1"/>
  <c r="N26" i="20" s="1"/>
  <c r="G7" i="20"/>
  <c r="G1" i="20"/>
  <c r="J29" i="23"/>
  <c r="P7" i="21"/>
  <c r="I39" i="21"/>
  <c r="N59" i="23"/>
  <c r="AD155" i="21"/>
  <c r="N66" i="23"/>
  <c r="N68" i="23"/>
  <c r="N67" i="23"/>
  <c r="N60" i="21"/>
  <c r="N59" i="20"/>
  <c r="AD155" i="23"/>
  <c r="I39" i="20"/>
  <c r="N58" i="23"/>
  <c r="N63" i="23"/>
  <c r="N57" i="23"/>
  <c r="L28" i="20"/>
  <c r="N65" i="23"/>
  <c r="N62" i="23"/>
  <c r="N60" i="23"/>
  <c r="N56" i="23"/>
  <c r="G54" i="20"/>
  <c r="L28" i="21"/>
  <c r="G10" i="20" l="1"/>
  <c r="L59" i="20"/>
  <c r="T97" i="20"/>
  <c r="T101" i="20"/>
  <c r="T105" i="20"/>
  <c r="T109" i="20"/>
  <c r="T98" i="20"/>
  <c r="T102" i="20"/>
  <c r="T106" i="20"/>
  <c r="T99" i="20"/>
  <c r="T103" i="20"/>
  <c r="T107" i="20"/>
  <c r="T100" i="20"/>
  <c r="T104" i="20"/>
  <c r="T108" i="20"/>
  <c r="L83" i="21"/>
  <c r="T71" i="21"/>
  <c r="Y73" i="21" s="1"/>
  <c r="AB73" i="21" s="1"/>
  <c r="AB125" i="21" s="1"/>
  <c r="AB177" i="21" s="1"/>
  <c r="AB229" i="21" s="1"/>
  <c r="AB281" i="21" s="1"/>
  <c r="AB333" i="21" s="1"/>
  <c r="AB385" i="21" s="1"/>
  <c r="AB437" i="21" s="1"/>
  <c r="AB489" i="21" s="1"/>
  <c r="AB541" i="21" s="1"/>
  <c r="AB593" i="21" s="1"/>
  <c r="AB645" i="21" s="1"/>
  <c r="AB697" i="21" s="1"/>
  <c r="L81" i="21"/>
  <c r="T90" i="21"/>
  <c r="Y92" i="21" s="1"/>
  <c r="AB92" i="21" s="1"/>
  <c r="AB144" i="21" s="1"/>
  <c r="AB196" i="21" s="1"/>
  <c r="AB248" i="21" s="1"/>
  <c r="AB300" i="21" s="1"/>
  <c r="AB352" i="21" s="1"/>
  <c r="AB404" i="21" s="1"/>
  <c r="AB456" i="21" s="1"/>
  <c r="AB508" i="21" s="1"/>
  <c r="AB560" i="21" s="1"/>
  <c r="AB612" i="21" s="1"/>
  <c r="AB664" i="21" s="1"/>
  <c r="AB716" i="21" s="1"/>
  <c r="G30" i="20"/>
  <c r="G31" i="20" s="1"/>
  <c r="G27" i="20"/>
  <c r="J27" i="20" s="1"/>
  <c r="T94" i="20"/>
  <c r="Y96" i="20" s="1"/>
  <c r="T90" i="20"/>
  <c r="Y92" i="20" s="1"/>
  <c r="T86" i="20"/>
  <c r="Y88" i="20" s="1"/>
  <c r="T82" i="20"/>
  <c r="Y84" i="20" s="1"/>
  <c r="T78" i="20"/>
  <c r="Y80" i="20" s="1"/>
  <c r="T74" i="20"/>
  <c r="Y76" i="20" s="1"/>
  <c r="T70" i="20"/>
  <c r="Y72" i="20" s="1"/>
  <c r="T66" i="20"/>
  <c r="Y68" i="20" s="1"/>
  <c r="T62" i="20"/>
  <c r="Y64" i="20" s="1"/>
  <c r="T58" i="20"/>
  <c r="Y60" i="20" s="1"/>
  <c r="L86" i="20"/>
  <c r="L82" i="20"/>
  <c r="L78" i="20"/>
  <c r="L74" i="20"/>
  <c r="L70" i="20"/>
  <c r="L66" i="20"/>
  <c r="L62" i="20"/>
  <c r="L58" i="20"/>
  <c r="G23" i="21"/>
  <c r="L60" i="21"/>
  <c r="T75" i="21"/>
  <c r="Y77" i="21" s="1"/>
  <c r="AB77" i="21" s="1"/>
  <c r="AB129" i="21" s="1"/>
  <c r="AB181" i="21" s="1"/>
  <c r="AB233" i="21" s="1"/>
  <c r="AB285" i="21" s="1"/>
  <c r="AB337" i="21" s="1"/>
  <c r="AB389" i="21" s="1"/>
  <c r="AB441" i="21" s="1"/>
  <c r="AB493" i="21" s="1"/>
  <c r="AB545" i="21" s="1"/>
  <c r="AB597" i="21" s="1"/>
  <c r="AB649" i="21" s="1"/>
  <c r="AB701" i="21" s="1"/>
  <c r="G74" i="23"/>
  <c r="Z424" i="21"/>
  <c r="Z432" i="21"/>
  <c r="Z440" i="21"/>
  <c r="Z448" i="21"/>
  <c r="Z456" i="21"/>
  <c r="Z464" i="21"/>
  <c r="Z420" i="21"/>
  <c r="Z425" i="21"/>
  <c r="Z433" i="21"/>
  <c r="Z441" i="21"/>
  <c r="Z449" i="21"/>
  <c r="Z457" i="21"/>
  <c r="Z465" i="21"/>
  <c r="Z422" i="21"/>
  <c r="Z430" i="21"/>
  <c r="Z438" i="21"/>
  <c r="Z446" i="21"/>
  <c r="Z454" i="21"/>
  <c r="Z462" i="21"/>
  <c r="Z470" i="21"/>
  <c r="Z431" i="21"/>
  <c r="Z439" i="21"/>
  <c r="Z447" i="21"/>
  <c r="Z455" i="21"/>
  <c r="Z463" i="21"/>
  <c r="Z471" i="21"/>
  <c r="A74" i="20"/>
  <c r="T56" i="20"/>
  <c r="Y58" i="20" s="1"/>
  <c r="T93" i="20"/>
  <c r="Y95" i="20" s="1"/>
  <c r="T89" i="20"/>
  <c r="Y91" i="20" s="1"/>
  <c r="T85" i="20"/>
  <c r="Y87" i="20" s="1"/>
  <c r="T81" i="20"/>
  <c r="Y83" i="20" s="1"/>
  <c r="T77" i="20"/>
  <c r="Y79" i="20" s="1"/>
  <c r="T73" i="20"/>
  <c r="Y75" i="20" s="1"/>
  <c r="T69" i="20"/>
  <c r="Y71" i="20" s="1"/>
  <c r="T65" i="20"/>
  <c r="Y67" i="20" s="1"/>
  <c r="T61" i="20"/>
  <c r="Y63" i="20" s="1"/>
  <c r="T57" i="20"/>
  <c r="Y59" i="20" s="1"/>
  <c r="L85" i="20"/>
  <c r="L81" i="20"/>
  <c r="L77" i="20"/>
  <c r="L73" i="20"/>
  <c r="L69" i="20"/>
  <c r="L65" i="20"/>
  <c r="L61" i="20"/>
  <c r="L57" i="20"/>
  <c r="T68" i="21"/>
  <c r="Y70" i="21" s="1"/>
  <c r="AB70" i="21" s="1"/>
  <c r="AB122" i="21" s="1"/>
  <c r="AB174" i="21" s="1"/>
  <c r="AB226" i="21" s="1"/>
  <c r="AB278" i="21" s="1"/>
  <c r="AB330" i="21" s="1"/>
  <c r="AB382" i="21" s="1"/>
  <c r="AB434" i="21" s="1"/>
  <c r="AB486" i="21" s="1"/>
  <c r="AB538" i="21" s="1"/>
  <c r="AB590" i="21" s="1"/>
  <c r="AB642" i="21" s="1"/>
  <c r="AB694" i="21" s="1"/>
  <c r="T97" i="21"/>
  <c r="Y99" i="21" s="1"/>
  <c r="AB99" i="21" s="1"/>
  <c r="AB151" i="21" s="1"/>
  <c r="AB203" i="21" s="1"/>
  <c r="AB255" i="21" s="1"/>
  <c r="AB307" i="21" s="1"/>
  <c r="AB359" i="21" s="1"/>
  <c r="AB411" i="21" s="1"/>
  <c r="AB463" i="21" s="1"/>
  <c r="AB515" i="21" s="1"/>
  <c r="AB567" i="21" s="1"/>
  <c r="AB619" i="21" s="1"/>
  <c r="AB671" i="21" s="1"/>
  <c r="AB723" i="21" s="1"/>
  <c r="T103" i="21"/>
  <c r="Y105" i="21" s="1"/>
  <c r="AB105" i="21" s="1"/>
  <c r="AB157" i="21" s="1"/>
  <c r="AB209" i="21" s="1"/>
  <c r="AB261" i="21" s="1"/>
  <c r="AB313" i="21" s="1"/>
  <c r="AB365" i="21" s="1"/>
  <c r="AB417" i="21" s="1"/>
  <c r="AB469" i="21" s="1"/>
  <c r="AB521" i="21" s="1"/>
  <c r="AB573" i="21" s="1"/>
  <c r="AB625" i="21" s="1"/>
  <c r="AB677" i="21" s="1"/>
  <c r="AB729" i="21" s="1"/>
  <c r="T98" i="21"/>
  <c r="Y100" i="21" s="1"/>
  <c r="AB100" i="21" s="1"/>
  <c r="AB152" i="21" s="1"/>
  <c r="AB204" i="21" s="1"/>
  <c r="AB256" i="21" s="1"/>
  <c r="AB308" i="21" s="1"/>
  <c r="AB360" i="21" s="1"/>
  <c r="AB412" i="21" s="1"/>
  <c r="AB464" i="21" s="1"/>
  <c r="AB516" i="21" s="1"/>
  <c r="AB568" i="21" s="1"/>
  <c r="AB620" i="21" s="1"/>
  <c r="AB672" i="21" s="1"/>
  <c r="AB724" i="21" s="1"/>
  <c r="T100" i="21"/>
  <c r="Y102" i="21" s="1"/>
  <c r="AB102" i="21" s="1"/>
  <c r="AB154" i="21" s="1"/>
  <c r="AB206" i="21" s="1"/>
  <c r="AB258" i="21" s="1"/>
  <c r="AB310" i="21" s="1"/>
  <c r="AB362" i="21" s="1"/>
  <c r="AB414" i="21" s="1"/>
  <c r="AB466" i="21" s="1"/>
  <c r="AB518" i="21" s="1"/>
  <c r="AB570" i="21" s="1"/>
  <c r="AB622" i="21" s="1"/>
  <c r="AB674" i="21" s="1"/>
  <c r="AB726" i="21" s="1"/>
  <c r="T102" i="21"/>
  <c r="Y104" i="21" s="1"/>
  <c r="AB104" i="21" s="1"/>
  <c r="AB156" i="21" s="1"/>
  <c r="AB208" i="21" s="1"/>
  <c r="AB260" i="21" s="1"/>
  <c r="AB312" i="21" s="1"/>
  <c r="AB364" i="21" s="1"/>
  <c r="AB416" i="21" s="1"/>
  <c r="AB468" i="21" s="1"/>
  <c r="AB520" i="21" s="1"/>
  <c r="AB572" i="21" s="1"/>
  <c r="AB624" i="21" s="1"/>
  <c r="AB676" i="21" s="1"/>
  <c r="AB728" i="21" s="1"/>
  <c r="T104" i="21"/>
  <c r="Y106" i="21" s="1"/>
  <c r="AB106" i="21" s="1"/>
  <c r="AB158" i="21" s="1"/>
  <c r="AB210" i="21" s="1"/>
  <c r="AB262" i="21" s="1"/>
  <c r="AB314" i="21" s="1"/>
  <c r="AB366" i="21" s="1"/>
  <c r="AB418" i="21" s="1"/>
  <c r="AB470" i="21" s="1"/>
  <c r="AB522" i="21" s="1"/>
  <c r="AB574" i="21" s="1"/>
  <c r="AB626" i="21" s="1"/>
  <c r="AB678" i="21" s="1"/>
  <c r="AB730" i="21" s="1"/>
  <c r="T101" i="21"/>
  <c r="Y103" i="21" s="1"/>
  <c r="AB103" i="21" s="1"/>
  <c r="AB155" i="21" s="1"/>
  <c r="AB207" i="21" s="1"/>
  <c r="AB259" i="21" s="1"/>
  <c r="AB311" i="21" s="1"/>
  <c r="AB363" i="21" s="1"/>
  <c r="AB415" i="21" s="1"/>
  <c r="AB467" i="21" s="1"/>
  <c r="AB519" i="21" s="1"/>
  <c r="AB571" i="21" s="1"/>
  <c r="AB623" i="21" s="1"/>
  <c r="AB675" i="21" s="1"/>
  <c r="AB727" i="21" s="1"/>
  <c r="T105" i="21"/>
  <c r="Y107" i="21" s="1"/>
  <c r="AB107" i="21" s="1"/>
  <c r="AB159" i="21" s="1"/>
  <c r="AB211" i="21" s="1"/>
  <c r="AB263" i="21" s="1"/>
  <c r="AB315" i="21" s="1"/>
  <c r="AB367" i="21" s="1"/>
  <c r="AB419" i="21" s="1"/>
  <c r="AB471" i="21" s="1"/>
  <c r="AB523" i="21" s="1"/>
  <c r="AB575" i="21" s="1"/>
  <c r="AB627" i="21" s="1"/>
  <c r="AB679" i="21" s="1"/>
  <c r="AB731" i="21" s="1"/>
  <c r="T99" i="21"/>
  <c r="Y101" i="21" s="1"/>
  <c r="AB101" i="21" s="1"/>
  <c r="AB153" i="21" s="1"/>
  <c r="AB205" i="21" s="1"/>
  <c r="AB257" i="21" s="1"/>
  <c r="AB309" i="21" s="1"/>
  <c r="AB361" i="21" s="1"/>
  <c r="AB413" i="21" s="1"/>
  <c r="AB465" i="21" s="1"/>
  <c r="AB517" i="21" s="1"/>
  <c r="AB569" i="21" s="1"/>
  <c r="AB621" i="21" s="1"/>
  <c r="AB673" i="21" s="1"/>
  <c r="AB725" i="21" s="1"/>
  <c r="G43" i="20"/>
  <c r="X52" i="20" s="1"/>
  <c r="W57" i="20" s="1"/>
  <c r="T96" i="20"/>
  <c r="Y98" i="20" s="1"/>
  <c r="T92" i="20"/>
  <c r="Y94" i="20" s="1"/>
  <c r="T88" i="20"/>
  <c r="Y90" i="20" s="1"/>
  <c r="T84" i="20"/>
  <c r="Y86" i="20" s="1"/>
  <c r="T80" i="20"/>
  <c r="Y82" i="20" s="1"/>
  <c r="T76" i="20"/>
  <c r="Y78" i="20" s="1"/>
  <c r="T72" i="20"/>
  <c r="Y74" i="20" s="1"/>
  <c r="T68" i="20"/>
  <c r="Y70" i="20" s="1"/>
  <c r="T64" i="20"/>
  <c r="Y66" i="20" s="1"/>
  <c r="T60" i="20"/>
  <c r="Y62" i="20" s="1"/>
  <c r="L56" i="20"/>
  <c r="L84" i="20"/>
  <c r="L80" i="20"/>
  <c r="L76" i="20"/>
  <c r="L72" i="20"/>
  <c r="L68" i="20"/>
  <c r="L64" i="20"/>
  <c r="L60" i="20"/>
  <c r="Z428" i="21"/>
  <c r="Z436" i="21"/>
  <c r="Z444" i="21"/>
  <c r="Z452" i="21"/>
  <c r="Z460" i="21"/>
  <c r="Z468" i="21"/>
  <c r="Z421" i="21"/>
  <c r="Z429" i="21"/>
  <c r="Z437" i="21"/>
  <c r="Z445" i="21"/>
  <c r="Z453" i="21"/>
  <c r="Z461" i="21"/>
  <c r="Z469" i="21"/>
  <c r="Z426" i="21"/>
  <c r="Z434" i="21"/>
  <c r="Z442" i="21"/>
  <c r="Z450" i="21"/>
  <c r="Z458" i="21"/>
  <c r="Z466" i="21"/>
  <c r="Z479" i="21"/>
  <c r="Z435" i="21"/>
  <c r="Z443" i="21"/>
  <c r="Z451" i="21"/>
  <c r="Z459" i="21"/>
  <c r="Z467" i="21"/>
  <c r="T95" i="20"/>
  <c r="Y97" i="20" s="1"/>
  <c r="T91" i="20"/>
  <c r="Y93" i="20" s="1"/>
  <c r="T87" i="20"/>
  <c r="Y89" i="20" s="1"/>
  <c r="T83" i="20"/>
  <c r="Y85" i="20" s="1"/>
  <c r="T79" i="20"/>
  <c r="Y81" i="20" s="1"/>
  <c r="T75" i="20"/>
  <c r="Y77" i="20" s="1"/>
  <c r="T71" i="20"/>
  <c r="Y73" i="20" s="1"/>
  <c r="T67" i="20"/>
  <c r="Y69" i="20" s="1"/>
  <c r="T63" i="20"/>
  <c r="Y65" i="20" s="1"/>
  <c r="T59" i="20"/>
  <c r="Y61" i="20" s="1"/>
  <c r="L87" i="20"/>
  <c r="L83" i="20"/>
  <c r="L79" i="20"/>
  <c r="L75" i="20"/>
  <c r="L71" i="20"/>
  <c r="L67" i="20"/>
  <c r="L63" i="20"/>
  <c r="Z423" i="21"/>
  <c r="J30" i="23"/>
  <c r="J31" i="23" s="1"/>
  <c r="J32" i="23" s="1"/>
  <c r="I47" i="23" s="1"/>
  <c r="Y57" i="23"/>
  <c r="AB57" i="23" s="1"/>
  <c r="AB75" i="23" s="1"/>
  <c r="AB93" i="23" s="1"/>
  <c r="AB111" i="23" s="1"/>
  <c r="AB129" i="23" s="1"/>
  <c r="AB147" i="23" s="1"/>
  <c r="AB165" i="23" s="1"/>
  <c r="AB183" i="23" s="1"/>
  <c r="AB201" i="23" s="1"/>
  <c r="AB219" i="23" s="1"/>
  <c r="AB237" i="23" s="1"/>
  <c r="AB255" i="23" s="1"/>
  <c r="AB273" i="23" s="1"/>
  <c r="AB291" i="23" s="1"/>
  <c r="AB309" i="23" s="1"/>
  <c r="AB327" i="23" s="1"/>
  <c r="AB345" i="23" s="1"/>
  <c r="AB363" i="23" s="1"/>
  <c r="AB381" i="23" s="1"/>
  <c r="AB399" i="23" s="1"/>
  <c r="AB417" i="23" s="1"/>
  <c r="AB435" i="23" s="1"/>
  <c r="AB453" i="23" s="1"/>
  <c r="AB471" i="23" s="1"/>
  <c r="AB489" i="23" s="1"/>
  <c r="AB507" i="23" s="1"/>
  <c r="AB525" i="23" s="1"/>
  <c r="AB543" i="23" s="1"/>
  <c r="AB561" i="23" s="1"/>
  <c r="AB579" i="23" s="1"/>
  <c r="AB597" i="23" s="1"/>
  <c r="AB615" i="23" s="1"/>
  <c r="AB633" i="23" s="1"/>
  <c r="AB651" i="23" s="1"/>
  <c r="AB669" i="23" s="1"/>
  <c r="AB687" i="23" s="1"/>
  <c r="AB705" i="23" s="1"/>
  <c r="AB723" i="23" s="1"/>
  <c r="AB74" i="23"/>
  <c r="AB92" i="23" s="1"/>
  <c r="AB110" i="23" s="1"/>
  <c r="AB128" i="23" s="1"/>
  <c r="AB146" i="23" s="1"/>
  <c r="AB164" i="23" s="1"/>
  <c r="AB182" i="23" s="1"/>
  <c r="AB200" i="23" s="1"/>
  <c r="AB218" i="23" s="1"/>
  <c r="AB236" i="23" s="1"/>
  <c r="AB254" i="23" s="1"/>
  <c r="AB272" i="23" s="1"/>
  <c r="AB290" i="23" s="1"/>
  <c r="AB308" i="23" s="1"/>
  <c r="AB326" i="23" s="1"/>
  <c r="AB344" i="23" s="1"/>
  <c r="AB362" i="23" s="1"/>
  <c r="AB380" i="23" s="1"/>
  <c r="AB398" i="23" s="1"/>
  <c r="AB416" i="23" s="1"/>
  <c r="AB434" i="23" s="1"/>
  <c r="AB452" i="23" s="1"/>
  <c r="AB470" i="23" s="1"/>
  <c r="AB488" i="23" s="1"/>
  <c r="AB506" i="23" s="1"/>
  <c r="AB524" i="23" s="1"/>
  <c r="AB542" i="23" s="1"/>
  <c r="AB560" i="23" s="1"/>
  <c r="AB578" i="23" s="1"/>
  <c r="AB596" i="23" s="1"/>
  <c r="AB614" i="23" s="1"/>
  <c r="AB632" i="23" s="1"/>
  <c r="AB650" i="23" s="1"/>
  <c r="AB668" i="23" s="1"/>
  <c r="AB686" i="23" s="1"/>
  <c r="AB704" i="23" s="1"/>
  <c r="AB722" i="23" s="1"/>
  <c r="G68" i="23"/>
  <c r="G32" i="23"/>
  <c r="G33" i="23"/>
  <c r="G37" i="23"/>
  <c r="W65" i="23"/>
  <c r="W83" i="23" s="1"/>
  <c r="W101" i="23" s="1"/>
  <c r="W119" i="23" s="1"/>
  <c r="W137" i="23" s="1"/>
  <c r="W155" i="23" s="1"/>
  <c r="W173" i="23" s="1"/>
  <c r="W191" i="23" s="1"/>
  <c r="W209" i="23" s="1"/>
  <c r="W227" i="23" s="1"/>
  <c r="W245" i="23" s="1"/>
  <c r="W263" i="23" s="1"/>
  <c r="W281" i="23" s="1"/>
  <c r="W299" i="23" s="1"/>
  <c r="W317" i="23" s="1"/>
  <c r="W335" i="23" s="1"/>
  <c r="W353" i="23" s="1"/>
  <c r="W371" i="23" s="1"/>
  <c r="W389" i="23" s="1"/>
  <c r="W407" i="23" s="1"/>
  <c r="W425" i="23" s="1"/>
  <c r="W443" i="23" s="1"/>
  <c r="W461" i="23" s="1"/>
  <c r="W479" i="23" s="1"/>
  <c r="W497" i="23" s="1"/>
  <c r="W515" i="23" s="1"/>
  <c r="W533" i="23" s="1"/>
  <c r="W551" i="23" s="1"/>
  <c r="W569" i="23" s="1"/>
  <c r="W587" i="23" s="1"/>
  <c r="W605" i="23" s="1"/>
  <c r="W623" i="23" s="1"/>
  <c r="W641" i="23" s="1"/>
  <c r="W659" i="23" s="1"/>
  <c r="W677" i="23" s="1"/>
  <c r="W695" i="23" s="1"/>
  <c r="W713" i="23" s="1"/>
  <c r="W731" i="23" s="1"/>
  <c r="W62" i="23"/>
  <c r="W80" i="23" s="1"/>
  <c r="W98" i="23" s="1"/>
  <c r="W116" i="23" s="1"/>
  <c r="W134" i="23" s="1"/>
  <c r="W152" i="23" s="1"/>
  <c r="W170" i="23" s="1"/>
  <c r="W188" i="23" s="1"/>
  <c r="W206" i="23" s="1"/>
  <c r="W224" i="23" s="1"/>
  <c r="W242" i="23" s="1"/>
  <c r="W260" i="23" s="1"/>
  <c r="W278" i="23" s="1"/>
  <c r="W296" i="23" s="1"/>
  <c r="W314" i="23" s="1"/>
  <c r="W332" i="23" s="1"/>
  <c r="W350" i="23" s="1"/>
  <c r="W368" i="23" s="1"/>
  <c r="W386" i="23" s="1"/>
  <c r="W404" i="23" s="1"/>
  <c r="W422" i="23" s="1"/>
  <c r="W440" i="23" s="1"/>
  <c r="W458" i="23" s="1"/>
  <c r="W476" i="23" s="1"/>
  <c r="W494" i="23" s="1"/>
  <c r="W512" i="23" s="1"/>
  <c r="W530" i="23" s="1"/>
  <c r="W548" i="23" s="1"/>
  <c r="W566" i="23" s="1"/>
  <c r="W584" i="23" s="1"/>
  <c r="W602" i="23" s="1"/>
  <c r="W620" i="23" s="1"/>
  <c r="W638" i="23" s="1"/>
  <c r="W656" i="23" s="1"/>
  <c r="W674" i="23" s="1"/>
  <c r="W692" i="23" s="1"/>
  <c r="W710" i="23" s="1"/>
  <c r="W728" i="23" s="1"/>
  <c r="W73" i="23"/>
  <c r="W91" i="23" s="1"/>
  <c r="W109" i="23" s="1"/>
  <c r="W127" i="23" s="1"/>
  <c r="W145" i="23" s="1"/>
  <c r="W163" i="23" s="1"/>
  <c r="W181" i="23" s="1"/>
  <c r="W199" i="23" s="1"/>
  <c r="W217" i="23" s="1"/>
  <c r="W235" i="23" s="1"/>
  <c r="W253" i="23" s="1"/>
  <c r="W271" i="23" s="1"/>
  <c r="W289" i="23" s="1"/>
  <c r="W307" i="23" s="1"/>
  <c r="W325" i="23" s="1"/>
  <c r="W343" i="23" s="1"/>
  <c r="W361" i="23" s="1"/>
  <c r="W379" i="23" s="1"/>
  <c r="W397" i="23" s="1"/>
  <c r="W415" i="23" s="1"/>
  <c r="W433" i="23" s="1"/>
  <c r="W451" i="23" s="1"/>
  <c r="W469" i="23" s="1"/>
  <c r="W487" i="23" s="1"/>
  <c r="W505" i="23" s="1"/>
  <c r="W523" i="23" s="1"/>
  <c r="W541" i="23" s="1"/>
  <c r="W559" i="23" s="1"/>
  <c r="W577" i="23" s="1"/>
  <c r="W595" i="23" s="1"/>
  <c r="W613" i="23" s="1"/>
  <c r="W631" i="23" s="1"/>
  <c r="W649" i="23" s="1"/>
  <c r="W667" i="23" s="1"/>
  <c r="W685" i="23" s="1"/>
  <c r="W703" i="23" s="1"/>
  <c r="W721" i="23" s="1"/>
  <c r="W71" i="23"/>
  <c r="W89" i="23" s="1"/>
  <c r="W107" i="23" s="1"/>
  <c r="W125" i="23" s="1"/>
  <c r="W143" i="23" s="1"/>
  <c r="W161" i="23" s="1"/>
  <c r="W179" i="23" s="1"/>
  <c r="W197" i="23" s="1"/>
  <c r="W215" i="23" s="1"/>
  <c r="W233" i="23" s="1"/>
  <c r="W251" i="23" s="1"/>
  <c r="W269" i="23" s="1"/>
  <c r="W287" i="23" s="1"/>
  <c r="W305" i="23" s="1"/>
  <c r="W323" i="23" s="1"/>
  <c r="W341" i="23" s="1"/>
  <c r="W359" i="23" s="1"/>
  <c r="W377" i="23" s="1"/>
  <c r="W395" i="23" s="1"/>
  <c r="W413" i="23" s="1"/>
  <c r="W431" i="23" s="1"/>
  <c r="W449" i="23" s="1"/>
  <c r="W467" i="23" s="1"/>
  <c r="W485" i="23" s="1"/>
  <c r="W503" i="23" s="1"/>
  <c r="W521" i="23" s="1"/>
  <c r="W539" i="23" s="1"/>
  <c r="W557" i="23" s="1"/>
  <c r="W575" i="23" s="1"/>
  <c r="W593" i="23" s="1"/>
  <c r="W611" i="23" s="1"/>
  <c r="W629" i="23" s="1"/>
  <c r="W647" i="23" s="1"/>
  <c r="W665" i="23" s="1"/>
  <c r="W683" i="23" s="1"/>
  <c r="W701" i="23" s="1"/>
  <c r="W719" i="23" s="1"/>
  <c r="W70" i="23"/>
  <c r="W88" i="23" s="1"/>
  <c r="W106" i="23" s="1"/>
  <c r="W124" i="23" s="1"/>
  <c r="W142" i="23" s="1"/>
  <c r="W160" i="23" s="1"/>
  <c r="W178" i="23" s="1"/>
  <c r="W196" i="23" s="1"/>
  <c r="W214" i="23" s="1"/>
  <c r="W232" i="23" s="1"/>
  <c r="W250" i="23" s="1"/>
  <c r="W268" i="23" s="1"/>
  <c r="W286" i="23" s="1"/>
  <c r="W304" i="23" s="1"/>
  <c r="W322" i="23" s="1"/>
  <c r="W340" i="23" s="1"/>
  <c r="W358" i="23" s="1"/>
  <c r="W376" i="23" s="1"/>
  <c r="W394" i="23" s="1"/>
  <c r="W412" i="23" s="1"/>
  <c r="W430" i="23" s="1"/>
  <c r="W448" i="23" s="1"/>
  <c r="W466" i="23" s="1"/>
  <c r="W484" i="23" s="1"/>
  <c r="W502" i="23" s="1"/>
  <c r="W520" i="23" s="1"/>
  <c r="W538" i="23" s="1"/>
  <c r="W556" i="23" s="1"/>
  <c r="W574" i="23" s="1"/>
  <c r="W592" i="23" s="1"/>
  <c r="W610" i="23" s="1"/>
  <c r="W628" i="23" s="1"/>
  <c r="W646" i="23" s="1"/>
  <c r="W664" i="23" s="1"/>
  <c r="W682" i="23" s="1"/>
  <c r="W700" i="23" s="1"/>
  <c r="W718" i="23" s="1"/>
  <c r="W66" i="23"/>
  <c r="W84" i="23" s="1"/>
  <c r="W102" i="23" s="1"/>
  <c r="W120" i="23" s="1"/>
  <c r="W138" i="23" s="1"/>
  <c r="W156" i="23" s="1"/>
  <c r="W174" i="23" s="1"/>
  <c r="W192" i="23" s="1"/>
  <c r="W210" i="23" s="1"/>
  <c r="W228" i="23" s="1"/>
  <c r="W246" i="23" s="1"/>
  <c r="W264" i="23" s="1"/>
  <c r="W282" i="23" s="1"/>
  <c r="W300" i="23" s="1"/>
  <c r="W318" i="23" s="1"/>
  <c r="W336" i="23" s="1"/>
  <c r="W354" i="23" s="1"/>
  <c r="W372" i="23" s="1"/>
  <c r="W390" i="23" s="1"/>
  <c r="W408" i="23" s="1"/>
  <c r="W426" i="23" s="1"/>
  <c r="W444" i="23" s="1"/>
  <c r="W462" i="23" s="1"/>
  <c r="W480" i="23" s="1"/>
  <c r="W498" i="23" s="1"/>
  <c r="W516" i="23" s="1"/>
  <c r="W534" i="23" s="1"/>
  <c r="W552" i="23" s="1"/>
  <c r="W570" i="23" s="1"/>
  <c r="W588" i="23" s="1"/>
  <c r="W606" i="23" s="1"/>
  <c r="W624" i="23" s="1"/>
  <c r="W642" i="23" s="1"/>
  <c r="W660" i="23" s="1"/>
  <c r="W678" i="23" s="1"/>
  <c r="W696" i="23" s="1"/>
  <c r="W714" i="23" s="1"/>
  <c r="W69" i="23"/>
  <c r="W87" i="23" s="1"/>
  <c r="W105" i="23" s="1"/>
  <c r="W123" i="23" s="1"/>
  <c r="W141" i="23" s="1"/>
  <c r="W159" i="23" s="1"/>
  <c r="W177" i="23" s="1"/>
  <c r="W195" i="23" s="1"/>
  <c r="W213" i="23" s="1"/>
  <c r="W231" i="23" s="1"/>
  <c r="W249" i="23" s="1"/>
  <c r="W267" i="23" s="1"/>
  <c r="W285" i="23" s="1"/>
  <c r="W303" i="23" s="1"/>
  <c r="W321" i="23" s="1"/>
  <c r="W339" i="23" s="1"/>
  <c r="W357" i="23" s="1"/>
  <c r="W375" i="23" s="1"/>
  <c r="W393" i="23" s="1"/>
  <c r="W411" i="23" s="1"/>
  <c r="W429" i="23" s="1"/>
  <c r="W447" i="23" s="1"/>
  <c r="W465" i="23" s="1"/>
  <c r="W483" i="23" s="1"/>
  <c r="W501" i="23" s="1"/>
  <c r="W519" i="23" s="1"/>
  <c r="W537" i="23" s="1"/>
  <c r="W555" i="23" s="1"/>
  <c r="W573" i="23" s="1"/>
  <c r="W591" i="23" s="1"/>
  <c r="W609" i="23" s="1"/>
  <c r="W627" i="23" s="1"/>
  <c r="W645" i="23" s="1"/>
  <c r="W663" i="23" s="1"/>
  <c r="W681" i="23" s="1"/>
  <c r="W699" i="23" s="1"/>
  <c r="W717" i="23" s="1"/>
  <c r="W68" i="23"/>
  <c r="W86" i="23" s="1"/>
  <c r="W104" i="23" s="1"/>
  <c r="W122" i="23" s="1"/>
  <c r="W140" i="23" s="1"/>
  <c r="W158" i="23" s="1"/>
  <c r="W176" i="23" s="1"/>
  <c r="W194" i="23" s="1"/>
  <c r="W212" i="23" s="1"/>
  <c r="W230" i="23" s="1"/>
  <c r="W248" i="23" s="1"/>
  <c r="W266" i="23" s="1"/>
  <c r="W284" i="23" s="1"/>
  <c r="W302" i="23" s="1"/>
  <c r="W320" i="23" s="1"/>
  <c r="W338" i="23" s="1"/>
  <c r="W356" i="23" s="1"/>
  <c r="W374" i="23" s="1"/>
  <c r="W392" i="23" s="1"/>
  <c r="W410" i="23" s="1"/>
  <c r="W428" i="23" s="1"/>
  <c r="W446" i="23" s="1"/>
  <c r="W464" i="23" s="1"/>
  <c r="W482" i="23" s="1"/>
  <c r="W500" i="23" s="1"/>
  <c r="W518" i="23" s="1"/>
  <c r="W536" i="23" s="1"/>
  <c r="W554" i="23" s="1"/>
  <c r="W572" i="23" s="1"/>
  <c r="W590" i="23" s="1"/>
  <c r="W608" i="23" s="1"/>
  <c r="W626" i="23" s="1"/>
  <c r="W644" i="23" s="1"/>
  <c r="W662" i="23" s="1"/>
  <c r="W680" i="23" s="1"/>
  <c r="W698" i="23" s="1"/>
  <c r="W716" i="23" s="1"/>
  <c r="W63" i="23"/>
  <c r="W81" i="23" s="1"/>
  <c r="W99" i="23" s="1"/>
  <c r="W117" i="23" s="1"/>
  <c r="W135" i="23" s="1"/>
  <c r="W153" i="23" s="1"/>
  <c r="W171" i="23" s="1"/>
  <c r="W189" i="23" s="1"/>
  <c r="W207" i="23" s="1"/>
  <c r="W225" i="23" s="1"/>
  <c r="W243" i="23" s="1"/>
  <c r="W261" i="23" s="1"/>
  <c r="W279" i="23" s="1"/>
  <c r="W297" i="23" s="1"/>
  <c r="W315" i="23" s="1"/>
  <c r="W333" i="23" s="1"/>
  <c r="W351" i="23" s="1"/>
  <c r="W369" i="23" s="1"/>
  <c r="W387" i="23" s="1"/>
  <c r="W405" i="23" s="1"/>
  <c r="W423" i="23" s="1"/>
  <c r="W441" i="23" s="1"/>
  <c r="W459" i="23" s="1"/>
  <c r="W477" i="23" s="1"/>
  <c r="W495" i="23" s="1"/>
  <c r="W513" i="23" s="1"/>
  <c r="W531" i="23" s="1"/>
  <c r="W549" i="23" s="1"/>
  <c r="W567" i="23" s="1"/>
  <c r="W585" i="23" s="1"/>
  <c r="W603" i="23" s="1"/>
  <c r="W621" i="23" s="1"/>
  <c r="W639" i="23" s="1"/>
  <c r="W657" i="23" s="1"/>
  <c r="W675" i="23" s="1"/>
  <c r="W693" i="23" s="1"/>
  <c r="W711" i="23" s="1"/>
  <c r="W729" i="23" s="1"/>
  <c r="W60" i="23"/>
  <c r="W78" i="23" s="1"/>
  <c r="W96" i="23" s="1"/>
  <c r="W114" i="23" s="1"/>
  <c r="W132" i="23" s="1"/>
  <c r="W150" i="23" s="1"/>
  <c r="W168" i="23" s="1"/>
  <c r="W186" i="23" s="1"/>
  <c r="W204" i="23" s="1"/>
  <c r="W222" i="23" s="1"/>
  <c r="W240" i="23" s="1"/>
  <c r="W258" i="23" s="1"/>
  <c r="W276" i="23" s="1"/>
  <c r="W294" i="23" s="1"/>
  <c r="W312" i="23" s="1"/>
  <c r="W330" i="23" s="1"/>
  <c r="W348" i="23" s="1"/>
  <c r="W366" i="23" s="1"/>
  <c r="W384" i="23" s="1"/>
  <c r="W402" i="23" s="1"/>
  <c r="W420" i="23" s="1"/>
  <c r="W438" i="23" s="1"/>
  <c r="W456" i="23" s="1"/>
  <c r="W474" i="23" s="1"/>
  <c r="W492" i="23" s="1"/>
  <c r="W510" i="23" s="1"/>
  <c r="W528" i="23" s="1"/>
  <c r="W546" i="23" s="1"/>
  <c r="W564" i="23" s="1"/>
  <c r="W582" i="23" s="1"/>
  <c r="W600" i="23" s="1"/>
  <c r="W618" i="23" s="1"/>
  <c r="W636" i="23" s="1"/>
  <c r="W654" i="23" s="1"/>
  <c r="W672" i="23" s="1"/>
  <c r="W690" i="23" s="1"/>
  <c r="W708" i="23" s="1"/>
  <c r="W726" i="23" s="1"/>
  <c r="W58" i="23"/>
  <c r="W76" i="23" s="1"/>
  <c r="W94" i="23" s="1"/>
  <c r="W112" i="23" s="1"/>
  <c r="W130" i="23" s="1"/>
  <c r="W148" i="23" s="1"/>
  <c r="W166" i="23" s="1"/>
  <c r="W184" i="23" s="1"/>
  <c r="W202" i="23" s="1"/>
  <c r="W220" i="23" s="1"/>
  <c r="W238" i="23" s="1"/>
  <c r="W256" i="23" s="1"/>
  <c r="W274" i="23" s="1"/>
  <c r="W292" i="23" s="1"/>
  <c r="W310" i="23" s="1"/>
  <c r="W328" i="23" s="1"/>
  <c r="W346" i="23" s="1"/>
  <c r="W364" i="23" s="1"/>
  <c r="W382" i="23" s="1"/>
  <c r="W400" i="23" s="1"/>
  <c r="W418" i="23" s="1"/>
  <c r="W436" i="23" s="1"/>
  <c r="W454" i="23" s="1"/>
  <c r="W472" i="23" s="1"/>
  <c r="W490" i="23" s="1"/>
  <c r="W508" i="23" s="1"/>
  <c r="W526" i="23" s="1"/>
  <c r="W544" i="23" s="1"/>
  <c r="W562" i="23" s="1"/>
  <c r="W580" i="23" s="1"/>
  <c r="W598" i="23" s="1"/>
  <c r="W616" i="23" s="1"/>
  <c r="W634" i="23" s="1"/>
  <c r="W652" i="23" s="1"/>
  <c r="W670" i="23" s="1"/>
  <c r="W688" i="23" s="1"/>
  <c r="W706" i="23" s="1"/>
  <c r="W724" i="23" s="1"/>
  <c r="W59" i="23"/>
  <c r="W77" i="23" s="1"/>
  <c r="W95" i="23" s="1"/>
  <c r="W113" i="23" s="1"/>
  <c r="W131" i="23" s="1"/>
  <c r="W149" i="23" s="1"/>
  <c r="W167" i="23" s="1"/>
  <c r="W185" i="23" s="1"/>
  <c r="W203" i="23" s="1"/>
  <c r="W221" i="23" s="1"/>
  <c r="W239" i="23" s="1"/>
  <c r="W257" i="23" s="1"/>
  <c r="W275" i="23" s="1"/>
  <c r="W293" i="23" s="1"/>
  <c r="W311" i="23" s="1"/>
  <c r="W329" i="23" s="1"/>
  <c r="W347" i="23" s="1"/>
  <c r="W365" i="23" s="1"/>
  <c r="W383" i="23" s="1"/>
  <c r="W401" i="23" s="1"/>
  <c r="W419" i="23" s="1"/>
  <c r="W437" i="23" s="1"/>
  <c r="W455" i="23" s="1"/>
  <c r="W473" i="23" s="1"/>
  <c r="W491" i="23" s="1"/>
  <c r="W509" i="23" s="1"/>
  <c r="W527" i="23" s="1"/>
  <c r="W545" i="23" s="1"/>
  <c r="W563" i="23" s="1"/>
  <c r="W581" i="23" s="1"/>
  <c r="W599" i="23" s="1"/>
  <c r="W617" i="23" s="1"/>
  <c r="W635" i="23" s="1"/>
  <c r="W653" i="23" s="1"/>
  <c r="W671" i="23" s="1"/>
  <c r="W689" i="23" s="1"/>
  <c r="W707" i="23" s="1"/>
  <c r="W725" i="23" s="1"/>
  <c r="W67" i="23"/>
  <c r="W85" i="23" s="1"/>
  <c r="W103" i="23" s="1"/>
  <c r="W121" i="23" s="1"/>
  <c r="W139" i="23" s="1"/>
  <c r="W157" i="23" s="1"/>
  <c r="W175" i="23" s="1"/>
  <c r="W193" i="23" s="1"/>
  <c r="W211" i="23" s="1"/>
  <c r="W229" i="23" s="1"/>
  <c r="W247" i="23" s="1"/>
  <c r="W265" i="23" s="1"/>
  <c r="W283" i="23" s="1"/>
  <c r="W301" i="23" s="1"/>
  <c r="W319" i="23" s="1"/>
  <c r="W337" i="23" s="1"/>
  <c r="W355" i="23" s="1"/>
  <c r="W373" i="23" s="1"/>
  <c r="W391" i="23" s="1"/>
  <c r="W409" i="23" s="1"/>
  <c r="W427" i="23" s="1"/>
  <c r="W445" i="23" s="1"/>
  <c r="W463" i="23" s="1"/>
  <c r="W481" i="23" s="1"/>
  <c r="W499" i="23" s="1"/>
  <c r="W517" i="23" s="1"/>
  <c r="W535" i="23" s="1"/>
  <c r="W553" i="23" s="1"/>
  <c r="W571" i="23" s="1"/>
  <c r="W589" i="23" s="1"/>
  <c r="W607" i="23" s="1"/>
  <c r="W625" i="23" s="1"/>
  <c r="W643" i="23" s="1"/>
  <c r="W661" i="23" s="1"/>
  <c r="W679" i="23" s="1"/>
  <c r="W697" i="23" s="1"/>
  <c r="W715" i="23" s="1"/>
  <c r="W64" i="23"/>
  <c r="W82" i="23" s="1"/>
  <c r="W100" i="23" s="1"/>
  <c r="W118" i="23" s="1"/>
  <c r="W136" i="23" s="1"/>
  <c r="W154" i="23" s="1"/>
  <c r="W172" i="23" s="1"/>
  <c r="W190" i="23" s="1"/>
  <c r="W208" i="23" s="1"/>
  <c r="W226" i="23" s="1"/>
  <c r="W244" i="23" s="1"/>
  <c r="W262" i="23" s="1"/>
  <c r="W280" i="23" s="1"/>
  <c r="W298" i="23" s="1"/>
  <c r="W316" i="23" s="1"/>
  <c r="W334" i="23" s="1"/>
  <c r="W352" i="23" s="1"/>
  <c r="W370" i="23" s="1"/>
  <c r="W388" i="23" s="1"/>
  <c r="W406" i="23" s="1"/>
  <c r="W424" i="23" s="1"/>
  <c r="W442" i="23" s="1"/>
  <c r="W460" i="23" s="1"/>
  <c r="W478" i="23" s="1"/>
  <c r="W496" i="23" s="1"/>
  <c r="W514" i="23" s="1"/>
  <c r="W532" i="23" s="1"/>
  <c r="W550" i="23" s="1"/>
  <c r="W568" i="23" s="1"/>
  <c r="W586" i="23" s="1"/>
  <c r="W604" i="23" s="1"/>
  <c r="W622" i="23" s="1"/>
  <c r="W640" i="23" s="1"/>
  <c r="W658" i="23" s="1"/>
  <c r="W676" i="23" s="1"/>
  <c r="W694" i="23" s="1"/>
  <c r="W712" i="23" s="1"/>
  <c r="W730" i="23" s="1"/>
  <c r="W72" i="23"/>
  <c r="W90" i="23" s="1"/>
  <c r="W108" i="23" s="1"/>
  <c r="W126" i="23" s="1"/>
  <c r="W144" i="23" s="1"/>
  <c r="W162" i="23" s="1"/>
  <c r="W180" i="23" s="1"/>
  <c r="W198" i="23" s="1"/>
  <c r="W216" i="23" s="1"/>
  <c r="W234" i="23" s="1"/>
  <c r="W252" i="23" s="1"/>
  <c r="W270" i="23" s="1"/>
  <c r="W288" i="23" s="1"/>
  <c r="W306" i="23" s="1"/>
  <c r="W324" i="23" s="1"/>
  <c r="W342" i="23" s="1"/>
  <c r="W360" i="23" s="1"/>
  <c r="W378" i="23" s="1"/>
  <c r="W396" i="23" s="1"/>
  <c r="W414" i="23" s="1"/>
  <c r="W432" i="23" s="1"/>
  <c r="W450" i="23" s="1"/>
  <c r="W468" i="23" s="1"/>
  <c r="W486" i="23" s="1"/>
  <c r="W504" i="23" s="1"/>
  <c r="W522" i="23" s="1"/>
  <c r="W540" i="23" s="1"/>
  <c r="W558" i="23" s="1"/>
  <c r="W576" i="23" s="1"/>
  <c r="W594" i="23" s="1"/>
  <c r="W612" i="23" s="1"/>
  <c r="W630" i="23" s="1"/>
  <c r="W648" i="23" s="1"/>
  <c r="W666" i="23" s="1"/>
  <c r="W684" i="23" s="1"/>
  <c r="W702" i="23" s="1"/>
  <c r="W720" i="23" s="1"/>
  <c r="W61" i="23"/>
  <c r="W79" i="23" s="1"/>
  <c r="W97" i="23" s="1"/>
  <c r="W115" i="23" s="1"/>
  <c r="W133" i="23" s="1"/>
  <c r="W151" i="23" s="1"/>
  <c r="W169" i="23" s="1"/>
  <c r="W187" i="23" s="1"/>
  <c r="W205" i="23" s="1"/>
  <c r="W223" i="23" s="1"/>
  <c r="W241" i="23" s="1"/>
  <c r="W259" i="23" s="1"/>
  <c r="W277" i="23" s="1"/>
  <c r="W295" i="23" s="1"/>
  <c r="W313" i="23" s="1"/>
  <c r="W331" i="23" s="1"/>
  <c r="W349" i="23" s="1"/>
  <c r="W367" i="23" s="1"/>
  <c r="W385" i="23" s="1"/>
  <c r="W403" i="23" s="1"/>
  <c r="W421" i="23" s="1"/>
  <c r="W439" i="23" s="1"/>
  <c r="W457" i="23" s="1"/>
  <c r="W475" i="23" s="1"/>
  <c r="W493" i="23" s="1"/>
  <c r="W511" i="23" s="1"/>
  <c r="W529" i="23" s="1"/>
  <c r="W547" i="23" s="1"/>
  <c r="W565" i="23" s="1"/>
  <c r="W583" i="23" s="1"/>
  <c r="W601" i="23" s="1"/>
  <c r="W619" i="23" s="1"/>
  <c r="W637" i="23" s="1"/>
  <c r="W655" i="23" s="1"/>
  <c r="W673" i="23" s="1"/>
  <c r="W691" i="23" s="1"/>
  <c r="W709" i="23" s="1"/>
  <c r="W727" i="23" s="1"/>
  <c r="G17" i="23"/>
  <c r="G18" i="23" s="1"/>
  <c r="G64" i="23"/>
  <c r="G12" i="23"/>
  <c r="I10" i="23"/>
  <c r="G36" i="23"/>
  <c r="G53" i="23"/>
  <c r="G38" i="23"/>
  <c r="G56" i="23"/>
  <c r="G47" i="23"/>
  <c r="G73" i="23"/>
  <c r="G75" i="23" s="1"/>
  <c r="AB186" i="20"/>
  <c r="AB185" i="20"/>
  <c r="AB143" i="20"/>
  <c r="AB142" i="20"/>
  <c r="AB100" i="20"/>
  <c r="AB99" i="20"/>
  <c r="AB228" i="20"/>
  <c r="AB56" i="20"/>
  <c r="AB229" i="20"/>
  <c r="G27" i="21"/>
  <c r="J27" i="21" s="1"/>
  <c r="J28" i="21" s="1"/>
  <c r="T58" i="21"/>
  <c r="Y60" i="21" s="1"/>
  <c r="AB60" i="21" s="1"/>
  <c r="AB112" i="21" s="1"/>
  <c r="AB164" i="21" s="1"/>
  <c r="AB216" i="21" s="1"/>
  <c r="AB268" i="21" s="1"/>
  <c r="AB320" i="21" s="1"/>
  <c r="AB372" i="21" s="1"/>
  <c r="AB424" i="21" s="1"/>
  <c r="AB476" i="21" s="1"/>
  <c r="AB528" i="21" s="1"/>
  <c r="AB580" i="21" s="1"/>
  <c r="AB632" i="21" s="1"/>
  <c r="AB684" i="21" s="1"/>
  <c r="T59" i="21"/>
  <c r="Y61" i="21" s="1"/>
  <c r="AB61" i="21" s="1"/>
  <c r="AB113" i="21" s="1"/>
  <c r="AB165" i="21" s="1"/>
  <c r="AB217" i="21" s="1"/>
  <c r="AB269" i="21" s="1"/>
  <c r="AB321" i="21" s="1"/>
  <c r="AB373" i="21" s="1"/>
  <c r="AB425" i="21" s="1"/>
  <c r="AB477" i="21" s="1"/>
  <c r="AB529" i="21" s="1"/>
  <c r="AB581" i="21" s="1"/>
  <c r="AB633" i="21" s="1"/>
  <c r="AB685" i="21" s="1"/>
  <c r="L61" i="21"/>
  <c r="T67" i="21"/>
  <c r="Y69" i="21" s="1"/>
  <c r="AB69" i="21" s="1"/>
  <c r="AB121" i="21" s="1"/>
  <c r="AB173" i="21" s="1"/>
  <c r="AB225" i="21" s="1"/>
  <c r="AB277" i="21" s="1"/>
  <c r="AB329" i="21" s="1"/>
  <c r="AB381" i="21" s="1"/>
  <c r="AB433" i="21" s="1"/>
  <c r="AB485" i="21" s="1"/>
  <c r="AB537" i="21" s="1"/>
  <c r="AB589" i="21" s="1"/>
  <c r="AB641" i="21" s="1"/>
  <c r="AB693" i="21" s="1"/>
  <c r="T95" i="21"/>
  <c r="Y97" i="21" s="1"/>
  <c r="AB97" i="21" s="1"/>
  <c r="AB149" i="21" s="1"/>
  <c r="AB201" i="21" s="1"/>
  <c r="AB253" i="21" s="1"/>
  <c r="AB305" i="21" s="1"/>
  <c r="AB357" i="21" s="1"/>
  <c r="AB409" i="21" s="1"/>
  <c r="AB461" i="21" s="1"/>
  <c r="AB513" i="21" s="1"/>
  <c r="AB565" i="21" s="1"/>
  <c r="AB617" i="21" s="1"/>
  <c r="AB669" i="21" s="1"/>
  <c r="AB721" i="21" s="1"/>
  <c r="T91" i="21"/>
  <c r="Y93" i="21" s="1"/>
  <c r="AB93" i="21" s="1"/>
  <c r="AB145" i="21" s="1"/>
  <c r="AB197" i="21" s="1"/>
  <c r="AB249" i="21" s="1"/>
  <c r="AB301" i="21" s="1"/>
  <c r="AB353" i="21" s="1"/>
  <c r="AB405" i="21" s="1"/>
  <c r="AB457" i="21" s="1"/>
  <c r="AB509" i="21" s="1"/>
  <c r="AB561" i="21" s="1"/>
  <c r="AB613" i="21" s="1"/>
  <c r="AB665" i="21" s="1"/>
  <c r="AB717" i="21" s="1"/>
  <c r="T87" i="21"/>
  <c r="Y89" i="21" s="1"/>
  <c r="AB89" i="21" s="1"/>
  <c r="AB141" i="21" s="1"/>
  <c r="AB193" i="21" s="1"/>
  <c r="AB245" i="21" s="1"/>
  <c r="AB297" i="21" s="1"/>
  <c r="AB349" i="21" s="1"/>
  <c r="AB401" i="21" s="1"/>
  <c r="AB453" i="21" s="1"/>
  <c r="AB505" i="21" s="1"/>
  <c r="AB557" i="21" s="1"/>
  <c r="AB609" i="21" s="1"/>
  <c r="AB661" i="21" s="1"/>
  <c r="AB713" i="21" s="1"/>
  <c r="L85" i="21"/>
  <c r="T78" i="21"/>
  <c r="Y80" i="21" s="1"/>
  <c r="AB80" i="21" s="1"/>
  <c r="AB132" i="21" s="1"/>
  <c r="AB184" i="21" s="1"/>
  <c r="AB236" i="21" s="1"/>
  <c r="AB288" i="21" s="1"/>
  <c r="AB340" i="21" s="1"/>
  <c r="AB392" i="21" s="1"/>
  <c r="AB444" i="21" s="1"/>
  <c r="AB496" i="21" s="1"/>
  <c r="AB548" i="21" s="1"/>
  <c r="AB600" i="21" s="1"/>
  <c r="AB652" i="21" s="1"/>
  <c r="AB704" i="21" s="1"/>
  <c r="L75" i="21"/>
  <c r="L74" i="21"/>
  <c r="L70" i="21"/>
  <c r="L69" i="21"/>
  <c r="L86" i="21"/>
  <c r="T80" i="21"/>
  <c r="Y82" i="21" s="1"/>
  <c r="AB82" i="21" s="1"/>
  <c r="AB134" i="21" s="1"/>
  <c r="AB186" i="21" s="1"/>
  <c r="AB238" i="21" s="1"/>
  <c r="AB290" i="21" s="1"/>
  <c r="AB342" i="21" s="1"/>
  <c r="AB394" i="21" s="1"/>
  <c r="AB446" i="21" s="1"/>
  <c r="AB498" i="21" s="1"/>
  <c r="AB550" i="21" s="1"/>
  <c r="AB602" i="21" s="1"/>
  <c r="AB654" i="21" s="1"/>
  <c r="AB706" i="21" s="1"/>
  <c r="T79" i="21"/>
  <c r="Y81" i="21" s="1"/>
  <c r="AB81" i="21" s="1"/>
  <c r="AB133" i="21" s="1"/>
  <c r="AB185" i="21" s="1"/>
  <c r="AB237" i="21" s="1"/>
  <c r="AB289" i="21" s="1"/>
  <c r="AB341" i="21" s="1"/>
  <c r="AB393" i="21" s="1"/>
  <c r="AB445" i="21" s="1"/>
  <c r="AB497" i="21" s="1"/>
  <c r="AB549" i="21" s="1"/>
  <c r="AB601" i="21" s="1"/>
  <c r="AB653" i="21" s="1"/>
  <c r="AB705" i="21" s="1"/>
  <c r="L77" i="21"/>
  <c r="L76" i="21"/>
  <c r="L73" i="21"/>
  <c r="L72" i="21"/>
  <c r="L71" i="21"/>
  <c r="L68" i="21"/>
  <c r="T96" i="21"/>
  <c r="Y98" i="21" s="1"/>
  <c r="AB98" i="21" s="1"/>
  <c r="AB150" i="21" s="1"/>
  <c r="AB202" i="21" s="1"/>
  <c r="AB254" i="21" s="1"/>
  <c r="AB306" i="21" s="1"/>
  <c r="AB358" i="21" s="1"/>
  <c r="AB410" i="21" s="1"/>
  <c r="AB462" i="21" s="1"/>
  <c r="AB514" i="21" s="1"/>
  <c r="AB566" i="21" s="1"/>
  <c r="AB618" i="21" s="1"/>
  <c r="AB670" i="21" s="1"/>
  <c r="AB722" i="21" s="1"/>
  <c r="T92" i="21"/>
  <c r="Y94" i="21" s="1"/>
  <c r="AB94" i="21" s="1"/>
  <c r="AB146" i="21" s="1"/>
  <c r="AB198" i="21" s="1"/>
  <c r="AB250" i="21" s="1"/>
  <c r="AB302" i="21" s="1"/>
  <c r="AB354" i="21" s="1"/>
  <c r="AB406" i="21" s="1"/>
  <c r="AB458" i="21" s="1"/>
  <c r="AB510" i="21" s="1"/>
  <c r="AB562" i="21" s="1"/>
  <c r="AB614" i="21" s="1"/>
  <c r="AB666" i="21" s="1"/>
  <c r="AB718" i="21" s="1"/>
  <c r="T88" i="21"/>
  <c r="Y90" i="21" s="1"/>
  <c r="AB90" i="21" s="1"/>
  <c r="AB142" i="21" s="1"/>
  <c r="AB194" i="21" s="1"/>
  <c r="AB246" i="21" s="1"/>
  <c r="AB298" i="21" s="1"/>
  <c r="AB350" i="21" s="1"/>
  <c r="AB402" i="21" s="1"/>
  <c r="AB454" i="21" s="1"/>
  <c r="AB506" i="21" s="1"/>
  <c r="AB558" i="21" s="1"/>
  <c r="AB610" i="21" s="1"/>
  <c r="AB662" i="21" s="1"/>
  <c r="AB714" i="21" s="1"/>
  <c r="L87" i="21"/>
  <c r="T81" i="21"/>
  <c r="Y83" i="21" s="1"/>
  <c r="AB83" i="21" s="1"/>
  <c r="AB135" i="21" s="1"/>
  <c r="AB187" i="21" s="1"/>
  <c r="AB239" i="21" s="1"/>
  <c r="AB291" i="21" s="1"/>
  <c r="AB343" i="21" s="1"/>
  <c r="AB395" i="21" s="1"/>
  <c r="AB447" i="21" s="1"/>
  <c r="AB499" i="21" s="1"/>
  <c r="AB551" i="21" s="1"/>
  <c r="AB603" i="21" s="1"/>
  <c r="AB655" i="21" s="1"/>
  <c r="AB707" i="21" s="1"/>
  <c r="L78" i="21"/>
  <c r="A74" i="21"/>
  <c r="T66" i="21"/>
  <c r="Y68" i="21" s="1"/>
  <c r="AB68" i="21" s="1"/>
  <c r="AB120" i="21" s="1"/>
  <c r="AB172" i="21" s="1"/>
  <c r="AB224" i="21" s="1"/>
  <c r="AB276" i="21" s="1"/>
  <c r="AB328" i="21" s="1"/>
  <c r="AB380" i="21" s="1"/>
  <c r="AB432" i="21" s="1"/>
  <c r="AB484" i="21" s="1"/>
  <c r="AB536" i="21" s="1"/>
  <c r="AB588" i="21" s="1"/>
  <c r="AB640" i="21" s="1"/>
  <c r="AB692" i="21" s="1"/>
  <c r="L64" i="21"/>
  <c r="T62" i="21"/>
  <c r="Y64" i="21" s="1"/>
  <c r="AB64" i="21" s="1"/>
  <c r="AB116" i="21" s="1"/>
  <c r="AB168" i="21" s="1"/>
  <c r="AB220" i="21" s="1"/>
  <c r="AB272" i="21" s="1"/>
  <c r="AB324" i="21" s="1"/>
  <c r="AB376" i="21" s="1"/>
  <c r="AB428" i="21" s="1"/>
  <c r="AB480" i="21" s="1"/>
  <c r="AB532" i="21" s="1"/>
  <c r="AB584" i="21" s="1"/>
  <c r="AB636" i="21" s="1"/>
  <c r="AB688" i="21" s="1"/>
  <c r="T57" i="21"/>
  <c r="Y59" i="21" s="1"/>
  <c r="AB59" i="21" s="1"/>
  <c r="AB111" i="21" s="1"/>
  <c r="AB163" i="21" s="1"/>
  <c r="AB215" i="21" s="1"/>
  <c r="AB267" i="21" s="1"/>
  <c r="AB319" i="21" s="1"/>
  <c r="AB371" i="21" s="1"/>
  <c r="AB423" i="21" s="1"/>
  <c r="AB475" i="21" s="1"/>
  <c r="AB527" i="21" s="1"/>
  <c r="AB579" i="21" s="1"/>
  <c r="AB631" i="21" s="1"/>
  <c r="AB683" i="21" s="1"/>
  <c r="T56" i="21"/>
  <c r="Y58" i="21" s="1"/>
  <c r="AB58" i="21" s="1"/>
  <c r="AB110" i="21" s="1"/>
  <c r="AB162" i="21" s="1"/>
  <c r="AB214" i="21" s="1"/>
  <c r="AB266" i="21" s="1"/>
  <c r="AB318" i="21" s="1"/>
  <c r="AB370" i="21" s="1"/>
  <c r="AB422" i="21" s="1"/>
  <c r="AB474" i="21" s="1"/>
  <c r="AB526" i="21" s="1"/>
  <c r="AB578" i="21" s="1"/>
  <c r="AB630" i="21" s="1"/>
  <c r="AB682" i="21" s="1"/>
  <c r="G26" i="21"/>
  <c r="J25" i="21" s="1"/>
  <c r="J26" i="21" s="1"/>
  <c r="G10" i="21"/>
  <c r="L62" i="21"/>
  <c r="L63" i="21"/>
  <c r="T83" i="21"/>
  <c r="Y85" i="21" s="1"/>
  <c r="AB85" i="21" s="1"/>
  <c r="AB137" i="21" s="1"/>
  <c r="AB189" i="21" s="1"/>
  <c r="AB241" i="21" s="1"/>
  <c r="AB293" i="21" s="1"/>
  <c r="AB345" i="21" s="1"/>
  <c r="AB397" i="21" s="1"/>
  <c r="AB449" i="21" s="1"/>
  <c r="AB501" i="21" s="1"/>
  <c r="AB553" i="21" s="1"/>
  <c r="AB605" i="21" s="1"/>
  <c r="AB657" i="21" s="1"/>
  <c r="AB709" i="21" s="1"/>
  <c r="T85" i="21"/>
  <c r="Y87" i="21" s="1"/>
  <c r="AB87" i="21" s="1"/>
  <c r="AB139" i="21" s="1"/>
  <c r="AB191" i="21" s="1"/>
  <c r="AB243" i="21" s="1"/>
  <c r="AB295" i="21" s="1"/>
  <c r="AB347" i="21" s="1"/>
  <c r="AB399" i="21" s="1"/>
  <c r="AB451" i="21" s="1"/>
  <c r="AB503" i="21" s="1"/>
  <c r="AB555" i="21" s="1"/>
  <c r="AB607" i="21" s="1"/>
  <c r="AB659" i="21" s="1"/>
  <c r="AB711" i="21" s="1"/>
  <c r="T60" i="21"/>
  <c r="Y62" i="21" s="1"/>
  <c r="AB62" i="21" s="1"/>
  <c r="AB114" i="21" s="1"/>
  <c r="AB166" i="21" s="1"/>
  <c r="AB218" i="21" s="1"/>
  <c r="AB270" i="21" s="1"/>
  <c r="AB322" i="21" s="1"/>
  <c r="AB374" i="21" s="1"/>
  <c r="AB426" i="21" s="1"/>
  <c r="AB478" i="21" s="1"/>
  <c r="AB530" i="21" s="1"/>
  <c r="AB582" i="21" s="1"/>
  <c r="AB634" i="21" s="1"/>
  <c r="AB686" i="21" s="1"/>
  <c r="T70" i="21"/>
  <c r="Y72" i="21" s="1"/>
  <c r="AB72" i="21" s="1"/>
  <c r="AB124" i="21" s="1"/>
  <c r="AB176" i="21" s="1"/>
  <c r="AB228" i="21" s="1"/>
  <c r="AB280" i="21" s="1"/>
  <c r="AB332" i="21" s="1"/>
  <c r="AB384" i="21" s="1"/>
  <c r="AB436" i="21" s="1"/>
  <c r="AB488" i="21" s="1"/>
  <c r="AB540" i="21" s="1"/>
  <c r="AB592" i="21" s="1"/>
  <c r="AB644" i="21" s="1"/>
  <c r="AB696" i="21" s="1"/>
  <c r="T74" i="21"/>
  <c r="Y76" i="21" s="1"/>
  <c r="AB76" i="21" s="1"/>
  <c r="AB128" i="21" s="1"/>
  <c r="AB180" i="21" s="1"/>
  <c r="AB232" i="21" s="1"/>
  <c r="AB284" i="21" s="1"/>
  <c r="AB336" i="21" s="1"/>
  <c r="AB388" i="21" s="1"/>
  <c r="AB440" i="21" s="1"/>
  <c r="AB492" i="21" s="1"/>
  <c r="AB544" i="21" s="1"/>
  <c r="AB596" i="21" s="1"/>
  <c r="AB648" i="21" s="1"/>
  <c r="AB700" i="21" s="1"/>
  <c r="T77" i="21"/>
  <c r="Y79" i="21" s="1"/>
  <c r="AB79" i="21" s="1"/>
  <c r="AB131" i="21" s="1"/>
  <c r="AB183" i="21" s="1"/>
  <c r="AB235" i="21" s="1"/>
  <c r="AB287" i="21" s="1"/>
  <c r="AB339" i="21" s="1"/>
  <c r="AB391" i="21" s="1"/>
  <c r="AB443" i="21" s="1"/>
  <c r="AB495" i="21" s="1"/>
  <c r="AB547" i="21" s="1"/>
  <c r="AB599" i="21" s="1"/>
  <c r="AB651" i="21" s="1"/>
  <c r="AB703" i="21" s="1"/>
  <c r="L80" i="21"/>
  <c r="G43" i="21"/>
  <c r="G46" i="21"/>
  <c r="T61" i="21"/>
  <c r="Y63" i="21" s="1"/>
  <c r="AB63" i="21" s="1"/>
  <c r="AB115" i="21" s="1"/>
  <c r="AB167" i="21" s="1"/>
  <c r="AB219" i="21" s="1"/>
  <c r="AB271" i="21" s="1"/>
  <c r="AB323" i="21" s="1"/>
  <c r="AB375" i="21" s="1"/>
  <c r="AB427" i="21" s="1"/>
  <c r="AB479" i="21" s="1"/>
  <c r="AB531" i="21" s="1"/>
  <c r="AB583" i="21" s="1"/>
  <c r="AB635" i="21" s="1"/>
  <c r="AB687" i="21" s="1"/>
  <c r="L65" i="21"/>
  <c r="L82" i="21"/>
  <c r="L84" i="21"/>
  <c r="G35" i="21"/>
  <c r="T63" i="21"/>
  <c r="Y65" i="21" s="1"/>
  <c r="AB65" i="21" s="1"/>
  <c r="AB117" i="21" s="1"/>
  <c r="AB169" i="21" s="1"/>
  <c r="AB221" i="21" s="1"/>
  <c r="AB273" i="21" s="1"/>
  <c r="AB325" i="21" s="1"/>
  <c r="AB377" i="21" s="1"/>
  <c r="AB429" i="21" s="1"/>
  <c r="AB481" i="21" s="1"/>
  <c r="AB533" i="21" s="1"/>
  <c r="AB585" i="21" s="1"/>
  <c r="AB637" i="21" s="1"/>
  <c r="AB689" i="21" s="1"/>
  <c r="T73" i="21"/>
  <c r="Y75" i="21" s="1"/>
  <c r="AB75" i="21" s="1"/>
  <c r="AB127" i="21" s="1"/>
  <c r="AB179" i="21" s="1"/>
  <c r="AB231" i="21" s="1"/>
  <c r="AB283" i="21" s="1"/>
  <c r="AB335" i="21" s="1"/>
  <c r="AB387" i="21" s="1"/>
  <c r="AB439" i="21" s="1"/>
  <c r="AB491" i="21" s="1"/>
  <c r="AB543" i="21" s="1"/>
  <c r="AB595" i="21" s="1"/>
  <c r="AB647" i="21" s="1"/>
  <c r="AB699" i="21" s="1"/>
  <c r="T76" i="21"/>
  <c r="Y78" i="21" s="1"/>
  <c r="AB78" i="21" s="1"/>
  <c r="AB130" i="21" s="1"/>
  <c r="AB182" i="21" s="1"/>
  <c r="AB234" i="21" s="1"/>
  <c r="AB286" i="21" s="1"/>
  <c r="AB338" i="21" s="1"/>
  <c r="AB390" i="21" s="1"/>
  <c r="AB442" i="21" s="1"/>
  <c r="AB494" i="21" s="1"/>
  <c r="AB546" i="21" s="1"/>
  <c r="AB598" i="21" s="1"/>
  <c r="AB650" i="21" s="1"/>
  <c r="AB702" i="21" s="1"/>
  <c r="L79" i="21"/>
  <c r="T89" i="21"/>
  <c r="Y91" i="21" s="1"/>
  <c r="AB91" i="21" s="1"/>
  <c r="AB143" i="21" s="1"/>
  <c r="AB195" i="21" s="1"/>
  <c r="AB247" i="21" s="1"/>
  <c r="AB299" i="21" s="1"/>
  <c r="AB351" i="21" s="1"/>
  <c r="AB403" i="21" s="1"/>
  <c r="AB455" i="21" s="1"/>
  <c r="AB507" i="21" s="1"/>
  <c r="AB559" i="21" s="1"/>
  <c r="AB611" i="21" s="1"/>
  <c r="AB663" i="21" s="1"/>
  <c r="AB715" i="21" s="1"/>
  <c r="T93" i="21"/>
  <c r="Y95" i="21" s="1"/>
  <c r="AB95" i="21" s="1"/>
  <c r="AB147" i="21" s="1"/>
  <c r="AB199" i="21" s="1"/>
  <c r="AB251" i="21" s="1"/>
  <c r="AB303" i="21" s="1"/>
  <c r="AB355" i="21" s="1"/>
  <c r="AB407" i="21" s="1"/>
  <c r="AB459" i="21" s="1"/>
  <c r="AB511" i="21" s="1"/>
  <c r="AB563" i="21" s="1"/>
  <c r="AB615" i="21" s="1"/>
  <c r="AB667" i="21" s="1"/>
  <c r="AB719" i="21" s="1"/>
  <c r="L57" i="21"/>
  <c r="L58" i="21"/>
  <c r="T64" i="21"/>
  <c r="Y66" i="21" s="1"/>
  <c r="AB66" i="21" s="1"/>
  <c r="AB118" i="21" s="1"/>
  <c r="AB170" i="21" s="1"/>
  <c r="AB222" i="21" s="1"/>
  <c r="AB274" i="21" s="1"/>
  <c r="AB326" i="21" s="1"/>
  <c r="AB378" i="21" s="1"/>
  <c r="AB430" i="21" s="1"/>
  <c r="AB482" i="21" s="1"/>
  <c r="AB534" i="21" s="1"/>
  <c r="AB586" i="21" s="1"/>
  <c r="AB638" i="21" s="1"/>
  <c r="AB690" i="21" s="1"/>
  <c r="L66" i="21"/>
  <c r="T69" i="21"/>
  <c r="Y71" i="21" s="1"/>
  <c r="AB71" i="21" s="1"/>
  <c r="AB123" i="21" s="1"/>
  <c r="AB175" i="21" s="1"/>
  <c r="AB227" i="21" s="1"/>
  <c r="AB279" i="21" s="1"/>
  <c r="AB331" i="21" s="1"/>
  <c r="AB383" i="21" s="1"/>
  <c r="AB435" i="21" s="1"/>
  <c r="AB487" i="21" s="1"/>
  <c r="AB539" i="21" s="1"/>
  <c r="AB591" i="21" s="1"/>
  <c r="AB643" i="21" s="1"/>
  <c r="AB695" i="21" s="1"/>
  <c r="T82" i="21"/>
  <c r="Y84" i="21" s="1"/>
  <c r="AB84" i="21" s="1"/>
  <c r="AB136" i="21" s="1"/>
  <c r="AB188" i="21" s="1"/>
  <c r="AB240" i="21" s="1"/>
  <c r="AB292" i="21" s="1"/>
  <c r="AB344" i="21" s="1"/>
  <c r="AB396" i="21" s="1"/>
  <c r="AB448" i="21" s="1"/>
  <c r="AB500" i="21" s="1"/>
  <c r="AB552" i="21" s="1"/>
  <c r="AB604" i="21" s="1"/>
  <c r="AB656" i="21" s="1"/>
  <c r="AB708" i="21" s="1"/>
  <c r="T84" i="21"/>
  <c r="Y86" i="21" s="1"/>
  <c r="AB86" i="21" s="1"/>
  <c r="AB138" i="21" s="1"/>
  <c r="AB190" i="21" s="1"/>
  <c r="AB242" i="21" s="1"/>
  <c r="AB294" i="21" s="1"/>
  <c r="AB346" i="21" s="1"/>
  <c r="AB398" i="21" s="1"/>
  <c r="AB450" i="21" s="1"/>
  <c r="AB502" i="21" s="1"/>
  <c r="AB554" i="21" s="1"/>
  <c r="AB606" i="21" s="1"/>
  <c r="AB658" i="21" s="1"/>
  <c r="AB710" i="21" s="1"/>
  <c r="G30" i="21"/>
  <c r="G31" i="21" s="1"/>
  <c r="L56" i="21"/>
  <c r="L59" i="21"/>
  <c r="T65" i="21"/>
  <c r="Y67" i="21" s="1"/>
  <c r="AB67" i="21" s="1"/>
  <c r="AB119" i="21" s="1"/>
  <c r="AB171" i="21" s="1"/>
  <c r="AB223" i="21" s="1"/>
  <c r="AB275" i="21" s="1"/>
  <c r="AB327" i="21" s="1"/>
  <c r="AB379" i="21" s="1"/>
  <c r="AB431" i="21" s="1"/>
  <c r="AB483" i="21" s="1"/>
  <c r="AB535" i="21" s="1"/>
  <c r="AB587" i="21" s="1"/>
  <c r="AB639" i="21" s="1"/>
  <c r="AB691" i="21" s="1"/>
  <c r="L67" i="21"/>
  <c r="T72" i="21"/>
  <c r="Y74" i="21" s="1"/>
  <c r="AB74" i="21" s="1"/>
  <c r="AB126" i="21" s="1"/>
  <c r="AB178" i="21" s="1"/>
  <c r="AB230" i="21" s="1"/>
  <c r="AB282" i="21" s="1"/>
  <c r="AB334" i="21" s="1"/>
  <c r="AB386" i="21" s="1"/>
  <c r="AB438" i="21" s="1"/>
  <c r="AB490" i="21" s="1"/>
  <c r="AB542" i="21" s="1"/>
  <c r="AB594" i="21" s="1"/>
  <c r="AB646" i="21" s="1"/>
  <c r="AB698" i="21" s="1"/>
  <c r="T86" i="21"/>
  <c r="Y88" i="21" s="1"/>
  <c r="AB88" i="21" s="1"/>
  <c r="AB140" i="21" s="1"/>
  <c r="AB192" i="21" s="1"/>
  <c r="AB244" i="21" s="1"/>
  <c r="AB296" i="21" s="1"/>
  <c r="AB348" i="21" s="1"/>
  <c r="AB400" i="21" s="1"/>
  <c r="AB452" i="21" s="1"/>
  <c r="AB504" i="21" s="1"/>
  <c r="AB556" i="21" s="1"/>
  <c r="AB608" i="21" s="1"/>
  <c r="AB660" i="21" s="1"/>
  <c r="AB712" i="21" s="1"/>
  <c r="G38" i="20"/>
  <c r="G55" i="20"/>
  <c r="G17" i="20"/>
  <c r="G18" i="20" s="1"/>
  <c r="G65" i="20"/>
  <c r="G12" i="20"/>
  <c r="I10" i="20"/>
  <c r="G33" i="20"/>
  <c r="G37" i="20"/>
  <c r="G32" i="20"/>
  <c r="J25" i="20"/>
  <c r="J26" i="20" s="1"/>
  <c r="G51" i="20"/>
  <c r="G52" i="20" s="1"/>
  <c r="J28" i="20"/>
  <c r="N62" i="20"/>
  <c r="O25" i="23"/>
  <c r="R30" i="23"/>
  <c r="N58" i="20"/>
  <c r="O16" i="23"/>
  <c r="N63" i="21"/>
  <c r="R27" i="23"/>
  <c r="Z29" i="23"/>
  <c r="Z7" i="23"/>
  <c r="O11" i="23"/>
  <c r="W21" i="23"/>
  <c r="R24" i="23"/>
  <c r="R25" i="23"/>
  <c r="Z36" i="23"/>
  <c r="W7" i="23"/>
  <c r="R12" i="23"/>
  <c r="R15" i="23"/>
  <c r="Z12" i="23"/>
  <c r="N64" i="20"/>
  <c r="W11" i="23"/>
  <c r="O22" i="23"/>
  <c r="O13" i="23"/>
  <c r="O8" i="23"/>
  <c r="R20" i="23"/>
  <c r="Z46" i="23"/>
  <c r="H39" i="23"/>
  <c r="O9" i="23"/>
  <c r="N58" i="21"/>
  <c r="W13" i="23"/>
  <c r="N65" i="20"/>
  <c r="N65" i="21"/>
  <c r="O23" i="23"/>
  <c r="Z35" i="23"/>
  <c r="Z27" i="23"/>
  <c r="Z8" i="23"/>
  <c r="Z19" i="23"/>
  <c r="Z14" i="23"/>
  <c r="W19" i="23"/>
  <c r="N66" i="20"/>
  <c r="R23" i="23"/>
  <c r="Z10" i="23"/>
  <c r="Z34" i="23"/>
  <c r="Z11" i="23"/>
  <c r="R8" i="23"/>
  <c r="W17" i="23"/>
  <c r="R17" i="23"/>
  <c r="J29" i="20"/>
  <c r="N56" i="21"/>
  <c r="Z44" i="23"/>
  <c r="Z25" i="23"/>
  <c r="O10" i="23"/>
  <c r="Z30" i="23"/>
  <c r="N66" i="21"/>
  <c r="N61" i="21"/>
  <c r="N57" i="20"/>
  <c r="N63" i="20"/>
  <c r="N57" i="21"/>
  <c r="R9" i="23"/>
  <c r="Z38" i="23"/>
  <c r="J29" i="21"/>
  <c r="R33" i="23"/>
  <c r="Z4" i="23"/>
  <c r="O27" i="23"/>
  <c r="O15" i="23"/>
  <c r="W12" i="23"/>
  <c r="W9" i="23"/>
  <c r="Z15" i="23"/>
  <c r="O26" i="23"/>
  <c r="Z22" i="23"/>
  <c r="Z16" i="23"/>
  <c r="N68" i="20"/>
  <c r="W16" i="23"/>
  <c r="W14" i="23"/>
  <c r="W22" i="23"/>
  <c r="O19" i="23"/>
  <c r="O20" i="23"/>
  <c r="R16" i="23"/>
  <c r="N68" i="21"/>
  <c r="Z45" i="23"/>
  <c r="R11" i="23"/>
  <c r="Z13" i="23"/>
  <c r="Z18" i="23"/>
  <c r="N56" i="20"/>
  <c r="Z40" i="23"/>
  <c r="Z26" i="23"/>
  <c r="G57" i="23"/>
  <c r="O18" i="23"/>
  <c r="R19" i="23"/>
  <c r="W10" i="23"/>
  <c r="N59" i="21"/>
  <c r="Z39" i="23"/>
  <c r="Z41" i="23"/>
  <c r="Z33" i="23"/>
  <c r="Z43" i="23"/>
  <c r="O12" i="23"/>
  <c r="R28" i="23"/>
  <c r="N67" i="20"/>
  <c r="Z20" i="23"/>
  <c r="Z28" i="23"/>
  <c r="R22" i="23"/>
  <c r="Z21" i="23"/>
  <c r="O24" i="23"/>
  <c r="Z17" i="23"/>
  <c r="Z23" i="23"/>
  <c r="Z32" i="23"/>
  <c r="R18" i="23"/>
  <c r="R32" i="23"/>
  <c r="N67" i="21"/>
  <c r="W18" i="23"/>
  <c r="N61" i="20"/>
  <c r="R26" i="23"/>
  <c r="R13" i="23"/>
  <c r="W20" i="23"/>
  <c r="O7" i="23"/>
  <c r="Z42" i="23"/>
  <c r="Z24" i="23"/>
  <c r="Z47" i="23"/>
  <c r="R29" i="23"/>
  <c r="R14" i="23"/>
  <c r="O21" i="23"/>
  <c r="R31" i="23"/>
  <c r="N62" i="21"/>
  <c r="Z9" i="23"/>
  <c r="O17" i="23"/>
  <c r="N64" i="21"/>
  <c r="R21" i="23"/>
  <c r="Z31" i="23"/>
  <c r="W15" i="23"/>
  <c r="N60" i="20"/>
  <c r="R7" i="23"/>
  <c r="Z37" i="23"/>
  <c r="O14" i="23"/>
  <c r="W8" i="23"/>
  <c r="R10" i="23"/>
  <c r="Z510" i="21" l="1"/>
  <c r="Z494" i="21"/>
  <c r="Z478" i="21"/>
  <c r="Z520" i="21"/>
  <c r="Z504" i="21"/>
  <c r="Z488" i="21"/>
  <c r="Z523" i="21"/>
  <c r="Z507" i="21"/>
  <c r="Z491" i="21"/>
  <c r="Z522" i="21"/>
  <c r="Z506" i="21"/>
  <c r="Z490" i="21"/>
  <c r="Z474" i="21"/>
  <c r="Z509" i="21"/>
  <c r="Z493" i="21"/>
  <c r="Z477" i="21"/>
  <c r="Z475" i="21"/>
  <c r="Z519" i="21"/>
  <c r="Z503" i="21"/>
  <c r="Z487" i="21"/>
  <c r="Z521" i="21"/>
  <c r="Z505" i="21"/>
  <c r="Z489" i="21"/>
  <c r="Z473" i="21"/>
  <c r="W59" i="20"/>
  <c r="W63" i="20"/>
  <c r="W67" i="20"/>
  <c r="W71" i="20"/>
  <c r="W75" i="20"/>
  <c r="W79" i="20"/>
  <c r="W83" i="20"/>
  <c r="W87" i="20"/>
  <c r="W91" i="20"/>
  <c r="W95" i="20"/>
  <c r="W58" i="20"/>
  <c r="W60" i="20"/>
  <c r="W64" i="20"/>
  <c r="W68" i="20"/>
  <c r="W72" i="20"/>
  <c r="W76" i="20"/>
  <c r="W80" i="20"/>
  <c r="W84" i="20"/>
  <c r="W88" i="20"/>
  <c r="W92" i="20"/>
  <c r="W96" i="20"/>
  <c r="W61" i="20"/>
  <c r="W65" i="20"/>
  <c r="W69" i="20"/>
  <c r="W73" i="20"/>
  <c r="W77" i="20"/>
  <c r="W81" i="20"/>
  <c r="W85" i="20"/>
  <c r="W89" i="20"/>
  <c r="W93" i="20"/>
  <c r="W97" i="20"/>
  <c r="W62" i="20"/>
  <c r="W66" i="20"/>
  <c r="W70" i="20"/>
  <c r="W74" i="20"/>
  <c r="W78" i="20"/>
  <c r="W82" i="20"/>
  <c r="W86" i="20"/>
  <c r="W90" i="20"/>
  <c r="W94" i="20"/>
  <c r="W98" i="20"/>
  <c r="Z516" i="21"/>
  <c r="Z500" i="21"/>
  <c r="Z484" i="21"/>
  <c r="Z518" i="21"/>
  <c r="Z570" i="21" s="1"/>
  <c r="Z622" i="21" s="1"/>
  <c r="Z674" i="21" s="1"/>
  <c r="Z502" i="21"/>
  <c r="Z486" i="21"/>
  <c r="Z512" i="21"/>
  <c r="Z496" i="21"/>
  <c r="Z480" i="21"/>
  <c r="Z515" i="21"/>
  <c r="Z499" i="21"/>
  <c r="Z483" i="21"/>
  <c r="Z514" i="21"/>
  <c r="Z498" i="21"/>
  <c r="Z482" i="21"/>
  <c r="Z517" i="21"/>
  <c r="Z501" i="21"/>
  <c r="Z485" i="21"/>
  <c r="Z472" i="21"/>
  <c r="Z511" i="21"/>
  <c r="Z495" i="21"/>
  <c r="Z531" i="21"/>
  <c r="Z513" i="21"/>
  <c r="Z497" i="21"/>
  <c r="Z481" i="21"/>
  <c r="Z508" i="21"/>
  <c r="Z492" i="21"/>
  <c r="Z476" i="21"/>
  <c r="G58" i="23"/>
  <c r="G39" i="23"/>
  <c r="X67" i="23"/>
  <c r="X59" i="23"/>
  <c r="X56" i="23"/>
  <c r="X72" i="23"/>
  <c r="X64" i="23"/>
  <c r="X61" i="23"/>
  <c r="X58" i="23"/>
  <c r="X69" i="23"/>
  <c r="X68" i="23"/>
  <c r="X63" i="23"/>
  <c r="X60" i="23"/>
  <c r="X57" i="23"/>
  <c r="X66" i="23"/>
  <c r="X73" i="23"/>
  <c r="X71" i="23"/>
  <c r="X65" i="23"/>
  <c r="X70" i="23"/>
  <c r="X62" i="23"/>
  <c r="G13" i="23"/>
  <c r="G67" i="23"/>
  <c r="B77" i="23" s="1"/>
  <c r="H66" i="23"/>
  <c r="G69" i="23"/>
  <c r="G66" i="23"/>
  <c r="G70" i="23"/>
  <c r="X51" i="23"/>
  <c r="AA401" i="23" s="1"/>
  <c r="G48" i="23"/>
  <c r="X53" i="23" s="1"/>
  <c r="AA417" i="23"/>
  <c r="AA420" i="23"/>
  <c r="G74" i="21"/>
  <c r="J30" i="21"/>
  <c r="J31" i="21" s="1"/>
  <c r="J32" i="21" s="1"/>
  <c r="I47" i="21" s="1"/>
  <c r="G33" i="21"/>
  <c r="G37" i="21"/>
  <c r="G32" i="21"/>
  <c r="G47" i="21"/>
  <c r="G38" i="21"/>
  <c r="G36" i="21"/>
  <c r="G17" i="21"/>
  <c r="G18" i="21" s="1"/>
  <c r="I10" i="21"/>
  <c r="G64" i="21"/>
  <c r="G12" i="21"/>
  <c r="G51" i="21"/>
  <c r="G52" i="21" s="1"/>
  <c r="G56" i="21" s="1"/>
  <c r="G61" i="21"/>
  <c r="G73" i="21"/>
  <c r="G75" i="21" s="1"/>
  <c r="G65" i="21"/>
  <c r="G68" i="21" s="1"/>
  <c r="X52" i="21"/>
  <c r="W57" i="21" s="1"/>
  <c r="G74" i="20"/>
  <c r="G36" i="20"/>
  <c r="G47" i="20"/>
  <c r="G68" i="20"/>
  <c r="J30" i="20"/>
  <c r="J31" i="20" s="1"/>
  <c r="J32" i="20" s="1"/>
  <c r="I47" i="20" s="1"/>
  <c r="G13" i="20"/>
  <c r="G67" i="20"/>
  <c r="B77" i="20" s="1"/>
  <c r="G56" i="20"/>
  <c r="G53" i="20"/>
  <c r="H39" i="20"/>
  <c r="G39" i="20" l="1"/>
  <c r="G40" i="20" s="1"/>
  <c r="G41" i="20" s="1"/>
  <c r="G42" i="20" s="1"/>
  <c r="G70" i="20"/>
  <c r="AA399" i="23"/>
  <c r="AA397" i="23"/>
  <c r="AA421" i="23"/>
  <c r="G53" i="21"/>
  <c r="Z573" i="21"/>
  <c r="Z527" i="21"/>
  <c r="Z561" i="21"/>
  <c r="Z574" i="21"/>
  <c r="Z626" i="21" s="1"/>
  <c r="Z540" i="21"/>
  <c r="Z592" i="21" s="1"/>
  <c r="Z572" i="21"/>
  <c r="Z624" i="21" s="1"/>
  <c r="Z546" i="21"/>
  <c r="Z598" i="21" s="1"/>
  <c r="Z528" i="21"/>
  <c r="Z580" i="21" s="1"/>
  <c r="Z549" i="21"/>
  <c r="Z537" i="21"/>
  <c r="Z726" i="21"/>
  <c r="X59" i="20"/>
  <c r="X63" i="20"/>
  <c r="X67" i="20"/>
  <c r="X71" i="20"/>
  <c r="X75" i="20"/>
  <c r="X79" i="20"/>
  <c r="X83" i="20"/>
  <c r="X87" i="20"/>
  <c r="X91" i="20"/>
  <c r="X95" i="20"/>
  <c r="X60" i="20"/>
  <c r="X64" i="20"/>
  <c r="X68" i="20"/>
  <c r="X72" i="20"/>
  <c r="X76" i="20"/>
  <c r="X80" i="20"/>
  <c r="X84" i="20"/>
  <c r="X88" i="20"/>
  <c r="X92" i="20"/>
  <c r="X96" i="20"/>
  <c r="X57" i="20"/>
  <c r="X61" i="20"/>
  <c r="X65" i="20"/>
  <c r="X69" i="20"/>
  <c r="X73" i="20"/>
  <c r="X77" i="20"/>
  <c r="X81" i="20"/>
  <c r="X85" i="20"/>
  <c r="X89" i="20"/>
  <c r="X93" i="20"/>
  <c r="X97" i="20"/>
  <c r="X58" i="20"/>
  <c r="X62" i="20"/>
  <c r="X66" i="20"/>
  <c r="X70" i="20"/>
  <c r="X74" i="20"/>
  <c r="X78" i="20"/>
  <c r="X82" i="20"/>
  <c r="X86" i="20"/>
  <c r="X90" i="20"/>
  <c r="X94" i="20"/>
  <c r="X98" i="20"/>
  <c r="AA466" i="23"/>
  <c r="Z583" i="21"/>
  <c r="Z525" i="21"/>
  <c r="Z557" i="21"/>
  <c r="Z539" i="21"/>
  <c r="Z571" i="21"/>
  <c r="Z545" i="21"/>
  <c r="Z526" i="21"/>
  <c r="Z578" i="21" s="1"/>
  <c r="Z558" i="21"/>
  <c r="Z610" i="21" s="1"/>
  <c r="Z543" i="21"/>
  <c r="Z575" i="21"/>
  <c r="Z556" i="21"/>
  <c r="Z608" i="21" s="1"/>
  <c r="Z530" i="21"/>
  <c r="Z582" i="21" s="1"/>
  <c r="Z562" i="21"/>
  <c r="Z614" i="21" s="1"/>
  <c r="Z541" i="21"/>
  <c r="Z555" i="21"/>
  <c r="Z529" i="21"/>
  <c r="Z542" i="21"/>
  <c r="Z594" i="21" s="1"/>
  <c r="Z559" i="21"/>
  <c r="Z560" i="21"/>
  <c r="Z612" i="21" s="1"/>
  <c r="Z563" i="21"/>
  <c r="Z569" i="21"/>
  <c r="Z550" i="21"/>
  <c r="Z602" i="21" s="1"/>
  <c r="Z535" i="21"/>
  <c r="Z567" i="21"/>
  <c r="Z548" i="21"/>
  <c r="Z600" i="21" s="1"/>
  <c r="Z538" i="21"/>
  <c r="Z590" i="21" s="1"/>
  <c r="Z552" i="21"/>
  <c r="Z604" i="21" s="1"/>
  <c r="G48" i="20"/>
  <c r="X53" i="20" s="1"/>
  <c r="X51" i="20"/>
  <c r="W99" i="21"/>
  <c r="W151" i="21" s="1"/>
  <c r="W203" i="21" s="1"/>
  <c r="W255" i="21" s="1"/>
  <c r="W307" i="21" s="1"/>
  <c r="W359" i="21" s="1"/>
  <c r="W411" i="21" s="1"/>
  <c r="W463" i="21" s="1"/>
  <c r="W515" i="21" s="1"/>
  <c r="W567" i="21" s="1"/>
  <c r="W619" i="21" s="1"/>
  <c r="W671" i="21" s="1"/>
  <c r="W723" i="21" s="1"/>
  <c r="W58" i="21"/>
  <c r="W110" i="21" s="1"/>
  <c r="W162" i="21" s="1"/>
  <c r="W214" i="21" s="1"/>
  <c r="W266" i="21" s="1"/>
  <c r="W318" i="21" s="1"/>
  <c r="W370" i="21" s="1"/>
  <c r="W422" i="21" s="1"/>
  <c r="W474" i="21" s="1"/>
  <c r="W526" i="21" s="1"/>
  <c r="W109" i="21"/>
  <c r="W161" i="21" s="1"/>
  <c r="W213" i="21" s="1"/>
  <c r="W265" i="21" s="1"/>
  <c r="W317" i="21" s="1"/>
  <c r="W369" i="21" s="1"/>
  <c r="W421" i="21" s="1"/>
  <c r="W473" i="21" s="1"/>
  <c r="W525" i="21" s="1"/>
  <c r="W577" i="21" s="1"/>
  <c r="W629" i="21" s="1"/>
  <c r="W681" i="21" s="1"/>
  <c r="W100" i="21"/>
  <c r="W152" i="21" s="1"/>
  <c r="W204" i="21" s="1"/>
  <c r="W256" i="21" s="1"/>
  <c r="W308" i="21" s="1"/>
  <c r="W360" i="21" s="1"/>
  <c r="W412" i="21" s="1"/>
  <c r="W464" i="21" s="1"/>
  <c r="W516" i="21" s="1"/>
  <c r="W568" i="21" s="1"/>
  <c r="W106" i="21"/>
  <c r="W158" i="21" s="1"/>
  <c r="W210" i="21" s="1"/>
  <c r="W262" i="21" s="1"/>
  <c r="W314" i="21" s="1"/>
  <c r="W366" i="21" s="1"/>
  <c r="W418" i="21" s="1"/>
  <c r="W470" i="21" s="1"/>
  <c r="W522" i="21" s="1"/>
  <c r="W574" i="21" s="1"/>
  <c r="W101" i="21"/>
  <c r="W153" i="21" s="1"/>
  <c r="W205" i="21" s="1"/>
  <c r="W257" i="21" s="1"/>
  <c r="W309" i="21" s="1"/>
  <c r="W361" i="21" s="1"/>
  <c r="W413" i="21" s="1"/>
  <c r="W465" i="21" s="1"/>
  <c r="W517" i="21" s="1"/>
  <c r="W569" i="21" s="1"/>
  <c r="W621" i="21" s="1"/>
  <c r="W673" i="21" s="1"/>
  <c r="W725" i="21" s="1"/>
  <c r="W105" i="21"/>
  <c r="W157" i="21" s="1"/>
  <c r="W209" i="21" s="1"/>
  <c r="W261" i="21" s="1"/>
  <c r="W313" i="21" s="1"/>
  <c r="W365" i="21" s="1"/>
  <c r="W417" i="21" s="1"/>
  <c r="W469" i="21" s="1"/>
  <c r="W521" i="21" s="1"/>
  <c r="W573" i="21" s="1"/>
  <c r="W625" i="21" s="1"/>
  <c r="W677" i="21" s="1"/>
  <c r="W729" i="21" s="1"/>
  <c r="W103" i="21"/>
  <c r="W155" i="21" s="1"/>
  <c r="W207" i="21" s="1"/>
  <c r="W259" i="21" s="1"/>
  <c r="W311" i="21" s="1"/>
  <c r="W363" i="21" s="1"/>
  <c r="W415" i="21" s="1"/>
  <c r="W467" i="21" s="1"/>
  <c r="W519" i="21" s="1"/>
  <c r="W571" i="21" s="1"/>
  <c r="W623" i="21" s="1"/>
  <c r="W675" i="21" s="1"/>
  <c r="W727" i="21" s="1"/>
  <c r="W107" i="21"/>
  <c r="W102" i="21"/>
  <c r="W154" i="21" s="1"/>
  <c r="W206" i="21" s="1"/>
  <c r="W258" i="21" s="1"/>
  <c r="W310" i="21" s="1"/>
  <c r="W362" i="21" s="1"/>
  <c r="W414" i="21" s="1"/>
  <c r="W466" i="21" s="1"/>
  <c r="W518" i="21" s="1"/>
  <c r="W104" i="21"/>
  <c r="W156" i="21" s="1"/>
  <c r="W208" i="21" s="1"/>
  <c r="W260" i="21" s="1"/>
  <c r="W312" i="21" s="1"/>
  <c r="W364" i="21" s="1"/>
  <c r="W416" i="21" s="1"/>
  <c r="W468" i="21" s="1"/>
  <c r="W520" i="21" s="1"/>
  <c r="W572" i="21" s="1"/>
  <c r="AA426" i="23"/>
  <c r="AA74" i="23"/>
  <c r="AA75" i="23"/>
  <c r="Z544" i="21"/>
  <c r="Z596" i="21" s="1"/>
  <c r="Z533" i="21"/>
  <c r="Z565" i="21"/>
  <c r="Z547" i="21"/>
  <c r="Z524" i="21"/>
  <c r="Z553" i="21"/>
  <c r="Z534" i="21"/>
  <c r="Z586" i="21" s="1"/>
  <c r="Z566" i="21"/>
  <c r="Z618" i="21" s="1"/>
  <c r="Z551" i="21"/>
  <c r="Z532" i="21"/>
  <c r="Z584" i="21" s="1"/>
  <c r="Z564" i="21"/>
  <c r="Z616" i="21" s="1"/>
  <c r="Z554" i="21"/>
  <c r="Z606" i="21" s="1"/>
  <c r="Z536" i="21"/>
  <c r="Z588" i="21" s="1"/>
  <c r="Z568" i="21"/>
  <c r="Z620" i="21" s="1"/>
  <c r="X56" i="20"/>
  <c r="AA419" i="23"/>
  <c r="AA472" i="23"/>
  <c r="AA422" i="23"/>
  <c r="AA490" i="23"/>
  <c r="AA390" i="23"/>
  <c r="AA405" i="23"/>
  <c r="AA483" i="23"/>
  <c r="AA455" i="23"/>
  <c r="AA391" i="23"/>
  <c r="AA475" i="23"/>
  <c r="AA425" i="23"/>
  <c r="AA510" i="23"/>
  <c r="AA465" i="23"/>
  <c r="AA512" i="23"/>
  <c r="AA484" i="23"/>
  <c r="AA438" i="23"/>
  <c r="AA442" i="23"/>
  <c r="AA500" i="23"/>
  <c r="AA492" i="23"/>
  <c r="AA415" i="23"/>
  <c r="AA522" i="23"/>
  <c r="AA443" i="23"/>
  <c r="AA423" i="23"/>
  <c r="AA477" i="23"/>
  <c r="AA458" i="23"/>
  <c r="AA413" i="23"/>
  <c r="AA460" i="23"/>
  <c r="AA432" i="23"/>
  <c r="AA471" i="23"/>
  <c r="AA518" i="23"/>
  <c r="AA448" i="23"/>
  <c r="AA440" i="23"/>
  <c r="AA467" i="23"/>
  <c r="AA470" i="23"/>
  <c r="AA476" i="23"/>
  <c r="AA409" i="23"/>
  <c r="AA502" i="23"/>
  <c r="AA478" i="23"/>
  <c r="AA441" i="23"/>
  <c r="AA463" i="23"/>
  <c r="AA508" i="23"/>
  <c r="AA486" i="23"/>
  <c r="AA424" i="23"/>
  <c r="AA461" i="23"/>
  <c r="AA450" i="23"/>
  <c r="AA493" i="23"/>
  <c r="AA469" i="23"/>
  <c r="AA314" i="23"/>
  <c r="AA312" i="23"/>
  <c r="AA310" i="23"/>
  <c r="AA308" i="23"/>
  <c r="AA306" i="23"/>
  <c r="AA304" i="23"/>
  <c r="AA302" i="23"/>
  <c r="AA300" i="23"/>
  <c r="AA296" i="23"/>
  <c r="AA260" i="23"/>
  <c r="AA252" i="23"/>
  <c r="AA244" i="23"/>
  <c r="AA236" i="23"/>
  <c r="AA228" i="23"/>
  <c r="AA220" i="23"/>
  <c r="AA212" i="23"/>
  <c r="AA204" i="23"/>
  <c r="AA196" i="23"/>
  <c r="AA188" i="23"/>
  <c r="AA180" i="23"/>
  <c r="AA172" i="23"/>
  <c r="AA164" i="23"/>
  <c r="AA156" i="23"/>
  <c r="AA154" i="23"/>
  <c r="AA283" i="23"/>
  <c r="AA257" i="23"/>
  <c r="AA249" i="23"/>
  <c r="AA241" i="23"/>
  <c r="AA233" i="23"/>
  <c r="AA225" i="23"/>
  <c r="AA217" i="23"/>
  <c r="AA298" i="23"/>
  <c r="AA262" i="23"/>
  <c r="AA254" i="23"/>
  <c r="AA246" i="23"/>
  <c r="AA238" i="23"/>
  <c r="AA230" i="23"/>
  <c r="AA222" i="23"/>
  <c r="AA214" i="23"/>
  <c r="AA206" i="23"/>
  <c r="AA198" i="23"/>
  <c r="AA190" i="23"/>
  <c r="AA182" i="23"/>
  <c r="AA174" i="23"/>
  <c r="AA166" i="23"/>
  <c r="AA158" i="23"/>
  <c r="AA148" i="23"/>
  <c r="AA140" i="23"/>
  <c r="AA132" i="23"/>
  <c r="AA124" i="23"/>
  <c r="AA116" i="23"/>
  <c r="AA108" i="23"/>
  <c r="AA106" i="23"/>
  <c r="AA280" i="23"/>
  <c r="AA278" i="23"/>
  <c r="AA276" i="23"/>
  <c r="AA274" i="23"/>
  <c r="AA272" i="23"/>
  <c r="AA270" i="23"/>
  <c r="AA268" i="23"/>
  <c r="AA266" i="23"/>
  <c r="AA264" i="23"/>
  <c r="AA259" i="23"/>
  <c r="AA251" i="23"/>
  <c r="AA243" i="23"/>
  <c r="AA235" i="23"/>
  <c r="AA227" i="23"/>
  <c r="AA219" i="23"/>
  <c r="AA292" i="23"/>
  <c r="AA282" i="23"/>
  <c r="AA256" i="23"/>
  <c r="AA248" i="23"/>
  <c r="AA240" i="23"/>
  <c r="AA232" i="23"/>
  <c r="AA224" i="23"/>
  <c r="AA216" i="23"/>
  <c r="AA208" i="23"/>
  <c r="AA200" i="23"/>
  <c r="AA192" i="23"/>
  <c r="AA184" i="23"/>
  <c r="AA176" i="23"/>
  <c r="AA168" i="23"/>
  <c r="AA160" i="23"/>
  <c r="AA284" i="23"/>
  <c r="AA261" i="23"/>
  <c r="AA253" i="23"/>
  <c r="AA245" i="23"/>
  <c r="AA237" i="23"/>
  <c r="AA229" i="23"/>
  <c r="AA221" i="23"/>
  <c r="AA213" i="23"/>
  <c r="AA205" i="23"/>
  <c r="AA197" i="23"/>
  <c r="AA189" i="23"/>
  <c r="AA181" i="23"/>
  <c r="AA173" i="23"/>
  <c r="AA165" i="23"/>
  <c r="AA157" i="23"/>
  <c r="AA155" i="23"/>
  <c r="AA147" i="23"/>
  <c r="AA139" i="23"/>
  <c r="AA131" i="23"/>
  <c r="AA123" i="23"/>
  <c r="AA115" i="23"/>
  <c r="AA107" i="23"/>
  <c r="AA294" i="23"/>
  <c r="AA258" i="23"/>
  <c r="AA250" i="23"/>
  <c r="AA242" i="23"/>
  <c r="AA234" i="23"/>
  <c r="AA226" i="23"/>
  <c r="AA218" i="23"/>
  <c r="AA210" i="23"/>
  <c r="AA202" i="23"/>
  <c r="AA194" i="23"/>
  <c r="AA186" i="23"/>
  <c r="AA178" i="23"/>
  <c r="AA170" i="23"/>
  <c r="AA162" i="23"/>
  <c r="AA152" i="23"/>
  <c r="AA144" i="23"/>
  <c r="AA136" i="23"/>
  <c r="AA128" i="23"/>
  <c r="AA120" i="23"/>
  <c r="AA112" i="23"/>
  <c r="AA104" i="23"/>
  <c r="AA265" i="23"/>
  <c r="AA183" i="23"/>
  <c r="AA169" i="23"/>
  <c r="AA151" i="23"/>
  <c r="AA138" i="23"/>
  <c r="AA134" i="23"/>
  <c r="AA125" i="23"/>
  <c r="AA121" i="23"/>
  <c r="AA93" i="23"/>
  <c r="AA72" i="23"/>
  <c r="AA64" i="23"/>
  <c r="AA61" i="23"/>
  <c r="AA58" i="23"/>
  <c r="Y51" i="23"/>
  <c r="Z51" i="23" s="1"/>
  <c r="AA275" i="23"/>
  <c r="AA247" i="23"/>
  <c r="AA211" i="23"/>
  <c r="AA175" i="23"/>
  <c r="AA161" i="23"/>
  <c r="AA146" i="23"/>
  <c r="AA142" i="23"/>
  <c r="AA133" i="23"/>
  <c r="AA129" i="23"/>
  <c r="AA105" i="23"/>
  <c r="AA101" i="23"/>
  <c r="AA94" i="23"/>
  <c r="AA269" i="23"/>
  <c r="AA223" i="23"/>
  <c r="AA203" i="23"/>
  <c r="AA167" i="23"/>
  <c r="AA150" i="23"/>
  <c r="AA141" i="23"/>
  <c r="AA137" i="23"/>
  <c r="AA95" i="23"/>
  <c r="AA87" i="23"/>
  <c r="AA86" i="23"/>
  <c r="AA85" i="23"/>
  <c r="AA84" i="23"/>
  <c r="AA83" i="23"/>
  <c r="AA82" i="23"/>
  <c r="AA81" i="23"/>
  <c r="AA80" i="23"/>
  <c r="AA69" i="23"/>
  <c r="AA279" i="23"/>
  <c r="AA263" i="23"/>
  <c r="AA209" i="23"/>
  <c r="AA195" i="23"/>
  <c r="AA159" i="23"/>
  <c r="AA149" i="23"/>
  <c r="AA145" i="23"/>
  <c r="AA111" i="23"/>
  <c r="AA102" i="23"/>
  <c r="AA96" i="23"/>
  <c r="AA88" i="23"/>
  <c r="AA79" i="23"/>
  <c r="AA78" i="23"/>
  <c r="AA77" i="23"/>
  <c r="AA273" i="23"/>
  <c r="AA239" i="23"/>
  <c r="AA201" i="23"/>
  <c r="AA187" i="23"/>
  <c r="AA119" i="23"/>
  <c r="AA97" i="23"/>
  <c r="AA89" i="23"/>
  <c r="AA76" i="23"/>
  <c r="AA267" i="23"/>
  <c r="AA215" i="23"/>
  <c r="AA207" i="23"/>
  <c r="AA193" i="23"/>
  <c r="AA179" i="23"/>
  <c r="AA153" i="23"/>
  <c r="AA127" i="23"/>
  <c r="AA114" i="23"/>
  <c r="AA110" i="23"/>
  <c r="AA103" i="23"/>
  <c r="AA98" i="23"/>
  <c r="AA90" i="23"/>
  <c r="AA65" i="23"/>
  <c r="AA62" i="23"/>
  <c r="AA277" i="23"/>
  <c r="AA255" i="23"/>
  <c r="AA199" i="23"/>
  <c r="AA185" i="23"/>
  <c r="AA171" i="23"/>
  <c r="AA135" i="23"/>
  <c r="AA122" i="23"/>
  <c r="AA118" i="23"/>
  <c r="AA109" i="23"/>
  <c r="AA99" i="23"/>
  <c r="AA91" i="23"/>
  <c r="AA67" i="23"/>
  <c r="AA59" i="23"/>
  <c r="AA56" i="23"/>
  <c r="AA231" i="23"/>
  <c r="AA163" i="23"/>
  <c r="AA130" i="23"/>
  <c r="AA66" i="23"/>
  <c r="AA126" i="23"/>
  <c r="AA73" i="23"/>
  <c r="AA71" i="23"/>
  <c r="AA63" i="23"/>
  <c r="AA117" i="23"/>
  <c r="AA191" i="23"/>
  <c r="AA113" i="23"/>
  <c r="AA60" i="23"/>
  <c r="AA143" i="23"/>
  <c r="AA92" i="23"/>
  <c r="AA57" i="23"/>
  <c r="AA271" i="23"/>
  <c r="AA177" i="23"/>
  <c r="AA70" i="23"/>
  <c r="AA68" i="23"/>
  <c r="AA100" i="23"/>
  <c r="AA346" i="23"/>
  <c r="AA342" i="23"/>
  <c r="AA285" i="23"/>
  <c r="AA313" i="23"/>
  <c r="AA352" i="23"/>
  <c r="AA305" i="23"/>
  <c r="AA320" i="23"/>
  <c r="AA328" i="23"/>
  <c r="AA295" i="23"/>
  <c r="AA290" i="23"/>
  <c r="AA364" i="23"/>
  <c r="AA317" i="23"/>
  <c r="AA325" i="23"/>
  <c r="AA281" i="23"/>
  <c r="AA336" i="23"/>
  <c r="AA293" i="23"/>
  <c r="AA333" i="23"/>
  <c r="AA288" i="23"/>
  <c r="AA360" i="23"/>
  <c r="AA356" i="23"/>
  <c r="AA322" i="23"/>
  <c r="AA330" i="23"/>
  <c r="AA301" i="23"/>
  <c r="AA350" i="23"/>
  <c r="AA319" i="23"/>
  <c r="AA327" i="23"/>
  <c r="AA291" i="23"/>
  <c r="AA289" i="23"/>
  <c r="AA315" i="23"/>
  <c r="AA362" i="23"/>
  <c r="AA340" i="23"/>
  <c r="AA286" i="23"/>
  <c r="AA334" i="23"/>
  <c r="AA316" i="23"/>
  <c r="AA324" i="23"/>
  <c r="AA332" i="23"/>
  <c r="AA311" i="23"/>
  <c r="AA358" i="23"/>
  <c r="AA354" i="23"/>
  <c r="AA321" i="23"/>
  <c r="AA329" i="23"/>
  <c r="AA299" i="23"/>
  <c r="AA297" i="23"/>
  <c r="AA337" i="23"/>
  <c r="AA335" i="23"/>
  <c r="AA307" i="23"/>
  <c r="AA309" i="23"/>
  <c r="AA366" i="23"/>
  <c r="AA344" i="23"/>
  <c r="AA318" i="23"/>
  <c r="AA326" i="23"/>
  <c r="AA287" i="23"/>
  <c r="AA348" i="23"/>
  <c r="AA323" i="23"/>
  <c r="AA331" i="23"/>
  <c r="AA303" i="23"/>
  <c r="AA389" i="23"/>
  <c r="AA373" i="23"/>
  <c r="AA406" i="23"/>
  <c r="AA374" i="23"/>
  <c r="AA394" i="23"/>
  <c r="AA367" i="23"/>
  <c r="AA370" i="23"/>
  <c r="AA349" i="23"/>
  <c r="AA380" i="23"/>
  <c r="AA398" i="23"/>
  <c r="AA416" i="23"/>
  <c r="AA400" i="23"/>
  <c r="AA386" i="23"/>
  <c r="AA379" i="23"/>
  <c r="AA363" i="23"/>
  <c r="AA351" i="23"/>
  <c r="AA418" i="23"/>
  <c r="AA392" i="23"/>
  <c r="AA353" i="23"/>
  <c r="AA388" i="23"/>
  <c r="AA369" i="23"/>
  <c r="AA372" i="23"/>
  <c r="AA355" i="23"/>
  <c r="AA339" i="23"/>
  <c r="AA359" i="23"/>
  <c r="AA384" i="23"/>
  <c r="AA341" i="23"/>
  <c r="AA371" i="23"/>
  <c r="AA357" i="23"/>
  <c r="AA412" i="23"/>
  <c r="AA404" i="23"/>
  <c r="AA368" i="23"/>
  <c r="AA410" i="23"/>
  <c r="AA377" i="23"/>
  <c r="AA396" i="23"/>
  <c r="AA387" i="23"/>
  <c r="AA381" i="23"/>
  <c r="AA382" i="23"/>
  <c r="AA385" i="23"/>
  <c r="AA402" i="23"/>
  <c r="AA383" i="23"/>
  <c r="AA361" i="23"/>
  <c r="AA343" i="23"/>
  <c r="AA414" i="23"/>
  <c r="AA375" i="23"/>
  <c r="AA376" i="23"/>
  <c r="AA365" i="23"/>
  <c r="AA345" i="23"/>
  <c r="AA347" i="23"/>
  <c r="AA408" i="23"/>
  <c r="AA378" i="23"/>
  <c r="AA338" i="23"/>
  <c r="AA473" i="23"/>
  <c r="AA395" i="23"/>
  <c r="AA481" i="23"/>
  <c r="AA453" i="23"/>
  <c r="AA411" i="23"/>
  <c r="AA456" i="23"/>
  <c r="AA434" i="23"/>
  <c r="AA506" i="23"/>
  <c r="AA480" i="23"/>
  <c r="AA516" i="23"/>
  <c r="AA439" i="23"/>
  <c r="AA498" i="23"/>
  <c r="AA520" i="23"/>
  <c r="AA449" i="23"/>
  <c r="AA479" i="23"/>
  <c r="AA447" i="23"/>
  <c r="AA429" i="23"/>
  <c r="AA496" i="23"/>
  <c r="AA488" i="23"/>
  <c r="AA437" i="23"/>
  <c r="AA454" i="23"/>
  <c r="AA428" i="23"/>
  <c r="AA464" i="23"/>
  <c r="AA491" i="23"/>
  <c r="AA446" i="23"/>
  <c r="AA468" i="23"/>
  <c r="AA427" i="23"/>
  <c r="AA504" i="23"/>
  <c r="AA514" i="23"/>
  <c r="AA444" i="23"/>
  <c r="AA436" i="23"/>
  <c r="AA489" i="23"/>
  <c r="AA459" i="23"/>
  <c r="AA445" i="23"/>
  <c r="AA482" i="23"/>
  <c r="AA433" i="23"/>
  <c r="AA435" i="23"/>
  <c r="G40" i="23"/>
  <c r="G41" i="23" s="1"/>
  <c r="G42" i="23" s="1"/>
  <c r="AA451" i="23"/>
  <c r="AA474" i="23"/>
  <c r="AA452" i="23"/>
  <c r="AA462" i="23"/>
  <c r="AA457" i="23"/>
  <c r="AA431" i="23"/>
  <c r="AA403" i="23"/>
  <c r="AA407" i="23"/>
  <c r="AA393" i="23"/>
  <c r="AA430" i="23"/>
  <c r="AA485" i="23"/>
  <c r="AA487" i="23"/>
  <c r="G67" i="21"/>
  <c r="B77" i="21" s="1"/>
  <c r="G13" i="21"/>
  <c r="X51" i="21"/>
  <c r="G48" i="21"/>
  <c r="X53" i="21" s="1"/>
  <c r="G69" i="21"/>
  <c r="H66" i="21"/>
  <c r="G66" i="21"/>
  <c r="W80" i="21"/>
  <c r="W132" i="21" s="1"/>
  <c r="W184" i="21" s="1"/>
  <c r="W236" i="21" s="1"/>
  <c r="W288" i="21" s="1"/>
  <c r="W340" i="21" s="1"/>
  <c r="W392" i="21" s="1"/>
  <c r="W444" i="21" s="1"/>
  <c r="W496" i="21" s="1"/>
  <c r="W548" i="21" s="1"/>
  <c r="W79" i="21"/>
  <c r="W131" i="21" s="1"/>
  <c r="W183" i="21" s="1"/>
  <c r="W235" i="21" s="1"/>
  <c r="W287" i="21" s="1"/>
  <c r="W339" i="21" s="1"/>
  <c r="W391" i="21" s="1"/>
  <c r="W443" i="21" s="1"/>
  <c r="W495" i="21" s="1"/>
  <c r="W547" i="21" s="1"/>
  <c r="W599" i="21" s="1"/>
  <c r="W651" i="21" s="1"/>
  <c r="W703" i="21" s="1"/>
  <c r="W98" i="21"/>
  <c r="W150" i="21" s="1"/>
  <c r="W202" i="21" s="1"/>
  <c r="W254" i="21" s="1"/>
  <c r="W306" i="21" s="1"/>
  <c r="W358" i="21" s="1"/>
  <c r="W410" i="21" s="1"/>
  <c r="W462" i="21" s="1"/>
  <c r="W514" i="21" s="1"/>
  <c r="W566" i="21" s="1"/>
  <c r="W96" i="21"/>
  <c r="W148" i="21" s="1"/>
  <c r="W200" i="21" s="1"/>
  <c r="W252" i="21" s="1"/>
  <c r="W304" i="21" s="1"/>
  <c r="W356" i="21" s="1"/>
  <c r="W408" i="21" s="1"/>
  <c r="W460" i="21" s="1"/>
  <c r="W512" i="21" s="1"/>
  <c r="W564" i="21" s="1"/>
  <c r="W92" i="21"/>
  <c r="W144" i="21" s="1"/>
  <c r="W196" i="21" s="1"/>
  <c r="W248" i="21" s="1"/>
  <c r="W300" i="21" s="1"/>
  <c r="W352" i="21" s="1"/>
  <c r="W404" i="21" s="1"/>
  <c r="W456" i="21" s="1"/>
  <c r="W508" i="21" s="1"/>
  <c r="W560" i="21" s="1"/>
  <c r="W88" i="21"/>
  <c r="W140" i="21" s="1"/>
  <c r="W192" i="21" s="1"/>
  <c r="W244" i="21" s="1"/>
  <c r="W296" i="21" s="1"/>
  <c r="W348" i="21" s="1"/>
  <c r="W400" i="21" s="1"/>
  <c r="W452" i="21" s="1"/>
  <c r="W504" i="21" s="1"/>
  <c r="W556" i="21" s="1"/>
  <c r="W81" i="21"/>
  <c r="W133" i="21" s="1"/>
  <c r="W185" i="21" s="1"/>
  <c r="W237" i="21" s="1"/>
  <c r="W289" i="21" s="1"/>
  <c r="W341" i="21" s="1"/>
  <c r="W393" i="21" s="1"/>
  <c r="W445" i="21" s="1"/>
  <c r="W497" i="21" s="1"/>
  <c r="W549" i="21" s="1"/>
  <c r="W601" i="21" s="1"/>
  <c r="W653" i="21" s="1"/>
  <c r="W705" i="21" s="1"/>
  <c r="W82" i="21"/>
  <c r="W134" i="21" s="1"/>
  <c r="W186" i="21" s="1"/>
  <c r="W238" i="21" s="1"/>
  <c r="W290" i="21" s="1"/>
  <c r="W342" i="21" s="1"/>
  <c r="W394" i="21" s="1"/>
  <c r="W446" i="21" s="1"/>
  <c r="W498" i="21" s="1"/>
  <c r="W550" i="21" s="1"/>
  <c r="W84" i="21"/>
  <c r="W136" i="21" s="1"/>
  <c r="W188" i="21" s="1"/>
  <c r="W240" i="21" s="1"/>
  <c r="W292" i="21" s="1"/>
  <c r="W344" i="21" s="1"/>
  <c r="W396" i="21" s="1"/>
  <c r="W448" i="21" s="1"/>
  <c r="W500" i="21" s="1"/>
  <c r="W552" i="21" s="1"/>
  <c r="W69" i="21"/>
  <c r="W121" i="21" s="1"/>
  <c r="W173" i="21" s="1"/>
  <c r="W225" i="21" s="1"/>
  <c r="W277" i="21" s="1"/>
  <c r="W329" i="21" s="1"/>
  <c r="W381" i="21" s="1"/>
  <c r="W433" i="21" s="1"/>
  <c r="W485" i="21" s="1"/>
  <c r="W537" i="21" s="1"/>
  <c r="W589" i="21" s="1"/>
  <c r="W641" i="21" s="1"/>
  <c r="W693" i="21" s="1"/>
  <c r="W64" i="21"/>
  <c r="W116" i="21" s="1"/>
  <c r="W168" i="21" s="1"/>
  <c r="W220" i="21" s="1"/>
  <c r="W272" i="21" s="1"/>
  <c r="W324" i="21" s="1"/>
  <c r="W376" i="21" s="1"/>
  <c r="W428" i="21" s="1"/>
  <c r="W480" i="21" s="1"/>
  <c r="W532" i="21" s="1"/>
  <c r="W93" i="21"/>
  <c r="W145" i="21" s="1"/>
  <c r="W197" i="21" s="1"/>
  <c r="W249" i="21" s="1"/>
  <c r="W301" i="21" s="1"/>
  <c r="W353" i="21" s="1"/>
  <c r="W405" i="21" s="1"/>
  <c r="W457" i="21" s="1"/>
  <c r="W509" i="21" s="1"/>
  <c r="W561" i="21" s="1"/>
  <c r="W613" i="21" s="1"/>
  <c r="W665" i="21" s="1"/>
  <c r="W717" i="21" s="1"/>
  <c r="W89" i="21"/>
  <c r="W141" i="21" s="1"/>
  <c r="W193" i="21" s="1"/>
  <c r="W245" i="21" s="1"/>
  <c r="W297" i="21" s="1"/>
  <c r="W349" i="21" s="1"/>
  <c r="W401" i="21" s="1"/>
  <c r="W453" i="21" s="1"/>
  <c r="W505" i="21" s="1"/>
  <c r="W557" i="21" s="1"/>
  <c r="W609" i="21" s="1"/>
  <c r="W661" i="21" s="1"/>
  <c r="W713" i="21" s="1"/>
  <c r="W76" i="21"/>
  <c r="W128" i="21" s="1"/>
  <c r="W180" i="21" s="1"/>
  <c r="W232" i="21" s="1"/>
  <c r="W284" i="21" s="1"/>
  <c r="W336" i="21" s="1"/>
  <c r="W388" i="21" s="1"/>
  <c r="W440" i="21" s="1"/>
  <c r="W492" i="21" s="1"/>
  <c r="W544" i="21" s="1"/>
  <c r="W73" i="21"/>
  <c r="W125" i="21" s="1"/>
  <c r="W177" i="21" s="1"/>
  <c r="W229" i="21" s="1"/>
  <c r="W281" i="21" s="1"/>
  <c r="W333" i="21" s="1"/>
  <c r="W385" i="21" s="1"/>
  <c r="W437" i="21" s="1"/>
  <c r="W489" i="21" s="1"/>
  <c r="W541" i="21" s="1"/>
  <c r="W593" i="21" s="1"/>
  <c r="W645" i="21" s="1"/>
  <c r="W697" i="21" s="1"/>
  <c r="W63" i="21"/>
  <c r="W115" i="21" s="1"/>
  <c r="W167" i="21" s="1"/>
  <c r="W219" i="21" s="1"/>
  <c r="W271" i="21" s="1"/>
  <c r="W323" i="21" s="1"/>
  <c r="W375" i="21" s="1"/>
  <c r="W427" i="21" s="1"/>
  <c r="W479" i="21" s="1"/>
  <c r="W531" i="21" s="1"/>
  <c r="W583" i="21" s="1"/>
  <c r="W635" i="21" s="1"/>
  <c r="W687" i="21" s="1"/>
  <c r="W95" i="21"/>
  <c r="W147" i="21" s="1"/>
  <c r="W199" i="21" s="1"/>
  <c r="W251" i="21" s="1"/>
  <c r="W303" i="21" s="1"/>
  <c r="W355" i="21" s="1"/>
  <c r="W407" i="21" s="1"/>
  <c r="W459" i="21" s="1"/>
  <c r="W511" i="21" s="1"/>
  <c r="W563" i="21" s="1"/>
  <c r="W615" i="21" s="1"/>
  <c r="W667" i="21" s="1"/>
  <c r="W719" i="21" s="1"/>
  <c r="W91" i="21"/>
  <c r="W143" i="21" s="1"/>
  <c r="W195" i="21" s="1"/>
  <c r="W247" i="21" s="1"/>
  <c r="W299" i="21" s="1"/>
  <c r="W351" i="21" s="1"/>
  <c r="W403" i="21" s="1"/>
  <c r="W455" i="21" s="1"/>
  <c r="W507" i="21" s="1"/>
  <c r="W559" i="21" s="1"/>
  <c r="W611" i="21" s="1"/>
  <c r="W663" i="21" s="1"/>
  <c r="W715" i="21" s="1"/>
  <c r="W87" i="21"/>
  <c r="W139" i="21" s="1"/>
  <c r="W191" i="21" s="1"/>
  <c r="W243" i="21" s="1"/>
  <c r="W295" i="21" s="1"/>
  <c r="W347" i="21" s="1"/>
  <c r="W399" i="21" s="1"/>
  <c r="W451" i="21" s="1"/>
  <c r="W503" i="21" s="1"/>
  <c r="W555" i="21" s="1"/>
  <c r="W607" i="21" s="1"/>
  <c r="W659" i="21" s="1"/>
  <c r="W711" i="21" s="1"/>
  <c r="W62" i="21"/>
  <c r="W114" i="21" s="1"/>
  <c r="W166" i="21" s="1"/>
  <c r="W218" i="21" s="1"/>
  <c r="W270" i="21" s="1"/>
  <c r="W322" i="21" s="1"/>
  <c r="W374" i="21" s="1"/>
  <c r="W426" i="21" s="1"/>
  <c r="W478" i="21" s="1"/>
  <c r="W530" i="21" s="1"/>
  <c r="W61" i="21"/>
  <c r="W113" i="21" s="1"/>
  <c r="W165" i="21" s="1"/>
  <c r="W217" i="21" s="1"/>
  <c r="W269" i="21" s="1"/>
  <c r="W321" i="21" s="1"/>
  <c r="W373" i="21" s="1"/>
  <c r="W425" i="21" s="1"/>
  <c r="W477" i="21" s="1"/>
  <c r="W529" i="21" s="1"/>
  <c r="W581" i="21" s="1"/>
  <c r="W633" i="21" s="1"/>
  <c r="W685" i="21" s="1"/>
  <c r="W65" i="21"/>
  <c r="W117" i="21" s="1"/>
  <c r="W169" i="21" s="1"/>
  <c r="W221" i="21" s="1"/>
  <c r="W273" i="21" s="1"/>
  <c r="W325" i="21" s="1"/>
  <c r="W377" i="21" s="1"/>
  <c r="W429" i="21" s="1"/>
  <c r="W481" i="21" s="1"/>
  <c r="W533" i="21" s="1"/>
  <c r="W585" i="21" s="1"/>
  <c r="W637" i="21" s="1"/>
  <c r="W689" i="21" s="1"/>
  <c r="W97" i="21"/>
  <c r="W149" i="21" s="1"/>
  <c r="W201" i="21" s="1"/>
  <c r="W253" i="21" s="1"/>
  <c r="W305" i="21" s="1"/>
  <c r="W357" i="21" s="1"/>
  <c r="W409" i="21" s="1"/>
  <c r="W461" i="21" s="1"/>
  <c r="W513" i="21" s="1"/>
  <c r="W565" i="21" s="1"/>
  <c r="W617" i="21" s="1"/>
  <c r="W669" i="21" s="1"/>
  <c r="W721" i="21" s="1"/>
  <c r="W77" i="21"/>
  <c r="W129" i="21" s="1"/>
  <c r="W181" i="21" s="1"/>
  <c r="W233" i="21" s="1"/>
  <c r="W285" i="21" s="1"/>
  <c r="W337" i="21" s="1"/>
  <c r="W389" i="21" s="1"/>
  <c r="W441" i="21" s="1"/>
  <c r="W493" i="21" s="1"/>
  <c r="W545" i="21" s="1"/>
  <c r="W597" i="21" s="1"/>
  <c r="W649" i="21" s="1"/>
  <c r="W701" i="21" s="1"/>
  <c r="W74" i="21"/>
  <c r="W126" i="21" s="1"/>
  <c r="W178" i="21" s="1"/>
  <c r="W230" i="21" s="1"/>
  <c r="W282" i="21" s="1"/>
  <c r="W334" i="21" s="1"/>
  <c r="W386" i="21" s="1"/>
  <c r="W438" i="21" s="1"/>
  <c r="W490" i="21" s="1"/>
  <c r="W542" i="21" s="1"/>
  <c r="W70" i="21"/>
  <c r="W122" i="21" s="1"/>
  <c r="W174" i="21" s="1"/>
  <c r="W226" i="21" s="1"/>
  <c r="W278" i="21" s="1"/>
  <c r="W330" i="21" s="1"/>
  <c r="W382" i="21" s="1"/>
  <c r="W434" i="21" s="1"/>
  <c r="W486" i="21" s="1"/>
  <c r="W538" i="21" s="1"/>
  <c r="W60" i="21"/>
  <c r="W112" i="21" s="1"/>
  <c r="W164" i="21" s="1"/>
  <c r="W216" i="21" s="1"/>
  <c r="W268" i="21" s="1"/>
  <c r="W320" i="21" s="1"/>
  <c r="W372" i="21" s="1"/>
  <c r="W424" i="21" s="1"/>
  <c r="W476" i="21" s="1"/>
  <c r="W528" i="21" s="1"/>
  <c r="W86" i="21"/>
  <c r="W138" i="21" s="1"/>
  <c r="W190" i="21" s="1"/>
  <c r="W242" i="21" s="1"/>
  <c r="W294" i="21" s="1"/>
  <c r="W346" i="21" s="1"/>
  <c r="W398" i="21" s="1"/>
  <c r="W450" i="21" s="1"/>
  <c r="W502" i="21" s="1"/>
  <c r="W554" i="21" s="1"/>
  <c r="W85" i="21"/>
  <c r="W137" i="21" s="1"/>
  <c r="W189" i="21" s="1"/>
  <c r="W241" i="21" s="1"/>
  <c r="W293" i="21" s="1"/>
  <c r="W345" i="21" s="1"/>
  <c r="W397" i="21" s="1"/>
  <c r="W449" i="21" s="1"/>
  <c r="W501" i="21" s="1"/>
  <c r="W553" i="21" s="1"/>
  <c r="W605" i="21" s="1"/>
  <c r="W657" i="21" s="1"/>
  <c r="W709" i="21" s="1"/>
  <c r="W83" i="21"/>
  <c r="W135" i="21" s="1"/>
  <c r="W187" i="21" s="1"/>
  <c r="W239" i="21" s="1"/>
  <c r="W291" i="21" s="1"/>
  <c r="W343" i="21" s="1"/>
  <c r="W395" i="21" s="1"/>
  <c r="W447" i="21" s="1"/>
  <c r="W499" i="21" s="1"/>
  <c r="W551" i="21" s="1"/>
  <c r="W603" i="21" s="1"/>
  <c r="W655" i="21" s="1"/>
  <c r="W707" i="21" s="1"/>
  <c r="W68" i="21"/>
  <c r="W120" i="21" s="1"/>
  <c r="W172" i="21" s="1"/>
  <c r="W224" i="21" s="1"/>
  <c r="W276" i="21" s="1"/>
  <c r="W328" i="21" s="1"/>
  <c r="W380" i="21" s="1"/>
  <c r="W432" i="21" s="1"/>
  <c r="W484" i="21" s="1"/>
  <c r="W536" i="21" s="1"/>
  <c r="W67" i="21"/>
  <c r="W119" i="21" s="1"/>
  <c r="W171" i="21" s="1"/>
  <c r="W223" i="21" s="1"/>
  <c r="W275" i="21" s="1"/>
  <c r="W327" i="21" s="1"/>
  <c r="W379" i="21" s="1"/>
  <c r="W431" i="21" s="1"/>
  <c r="W483" i="21" s="1"/>
  <c r="W535" i="21" s="1"/>
  <c r="W587" i="21" s="1"/>
  <c r="W639" i="21" s="1"/>
  <c r="W691" i="21" s="1"/>
  <c r="W59" i="21"/>
  <c r="W111" i="21" s="1"/>
  <c r="W163" i="21" s="1"/>
  <c r="W215" i="21" s="1"/>
  <c r="W267" i="21" s="1"/>
  <c r="W319" i="21" s="1"/>
  <c r="W371" i="21" s="1"/>
  <c r="W423" i="21" s="1"/>
  <c r="W475" i="21" s="1"/>
  <c r="W527" i="21" s="1"/>
  <c r="W579" i="21" s="1"/>
  <c r="W631" i="21" s="1"/>
  <c r="W683" i="21" s="1"/>
  <c r="W94" i="21"/>
  <c r="W146" i="21" s="1"/>
  <c r="W198" i="21" s="1"/>
  <c r="W250" i="21" s="1"/>
  <c r="W302" i="21" s="1"/>
  <c r="W354" i="21" s="1"/>
  <c r="W406" i="21" s="1"/>
  <c r="W458" i="21" s="1"/>
  <c r="W510" i="21" s="1"/>
  <c r="W562" i="21" s="1"/>
  <c r="W90" i="21"/>
  <c r="W142" i="21" s="1"/>
  <c r="W194" i="21" s="1"/>
  <c r="W246" i="21" s="1"/>
  <c r="W298" i="21" s="1"/>
  <c r="W350" i="21" s="1"/>
  <c r="W402" i="21" s="1"/>
  <c r="W454" i="21" s="1"/>
  <c r="W506" i="21" s="1"/>
  <c r="W558" i="21" s="1"/>
  <c r="W78" i="21"/>
  <c r="W130" i="21" s="1"/>
  <c r="W182" i="21" s="1"/>
  <c r="W234" i="21" s="1"/>
  <c r="W286" i="21" s="1"/>
  <c r="W338" i="21" s="1"/>
  <c r="W390" i="21" s="1"/>
  <c r="W442" i="21" s="1"/>
  <c r="W494" i="21" s="1"/>
  <c r="W546" i="21" s="1"/>
  <c r="W75" i="21"/>
  <c r="W127" i="21" s="1"/>
  <c r="W179" i="21" s="1"/>
  <c r="W231" i="21" s="1"/>
  <c r="W283" i="21" s="1"/>
  <c r="W335" i="21" s="1"/>
  <c r="W387" i="21" s="1"/>
  <c r="W439" i="21" s="1"/>
  <c r="W491" i="21" s="1"/>
  <c r="W543" i="21" s="1"/>
  <c r="W595" i="21" s="1"/>
  <c r="W647" i="21" s="1"/>
  <c r="W699" i="21" s="1"/>
  <c r="W71" i="21"/>
  <c r="W123" i="21" s="1"/>
  <c r="W175" i="21" s="1"/>
  <c r="W227" i="21" s="1"/>
  <c r="W279" i="21" s="1"/>
  <c r="W331" i="21" s="1"/>
  <c r="W383" i="21" s="1"/>
  <c r="W435" i="21" s="1"/>
  <c r="W487" i="21" s="1"/>
  <c r="W539" i="21" s="1"/>
  <c r="W591" i="21" s="1"/>
  <c r="W643" i="21" s="1"/>
  <c r="W695" i="21" s="1"/>
  <c r="W66" i="21"/>
  <c r="W118" i="21" s="1"/>
  <c r="W170" i="21" s="1"/>
  <c r="W222" i="21" s="1"/>
  <c r="W274" i="21" s="1"/>
  <c r="W326" i="21" s="1"/>
  <c r="W378" i="21" s="1"/>
  <c r="W430" i="21" s="1"/>
  <c r="W482" i="21" s="1"/>
  <c r="W534" i="21" s="1"/>
  <c r="W72" i="21"/>
  <c r="W124" i="21" s="1"/>
  <c r="W176" i="21" s="1"/>
  <c r="W228" i="21" s="1"/>
  <c r="W280" i="21" s="1"/>
  <c r="W332" i="21" s="1"/>
  <c r="W384" i="21" s="1"/>
  <c r="W436" i="21" s="1"/>
  <c r="W488" i="21" s="1"/>
  <c r="W540" i="21" s="1"/>
  <c r="G70" i="21"/>
  <c r="G60" i="20"/>
  <c r="G61" i="20" s="1"/>
  <c r="G64" i="20"/>
  <c r="A91" i="15"/>
  <c r="Z45" i="21"/>
  <c r="H39" i="21"/>
  <c r="Z30" i="21"/>
  <c r="R12" i="21"/>
  <c r="Z43" i="21"/>
  <c r="R30" i="21"/>
  <c r="Z23" i="20"/>
  <c r="Z29" i="20"/>
  <c r="Z35" i="20"/>
  <c r="R27" i="20"/>
  <c r="R13" i="20"/>
  <c r="R26" i="20"/>
  <c r="Z28" i="21"/>
  <c r="O27" i="21"/>
  <c r="Z29" i="21"/>
  <c r="Z19" i="21"/>
  <c r="Z32" i="21"/>
  <c r="O16" i="21"/>
  <c r="W14" i="21"/>
  <c r="R32" i="20"/>
  <c r="R20" i="20"/>
  <c r="R9" i="20"/>
  <c r="Z21" i="20"/>
  <c r="O12" i="20"/>
  <c r="R10" i="20"/>
  <c r="Z39" i="20"/>
  <c r="W12" i="20"/>
  <c r="R21" i="21"/>
  <c r="O24" i="21"/>
  <c r="W13" i="21"/>
  <c r="R19" i="21"/>
  <c r="O21" i="21"/>
  <c r="Z47" i="21"/>
  <c r="R33" i="21"/>
  <c r="Z42" i="20"/>
  <c r="W18" i="20"/>
  <c r="Z33" i="20"/>
  <c r="R16" i="20"/>
  <c r="R11" i="21"/>
  <c r="R22" i="21"/>
  <c r="O7" i="21"/>
  <c r="R8" i="21"/>
  <c r="W10" i="21"/>
  <c r="O12" i="21"/>
  <c r="O22" i="21"/>
  <c r="R14" i="20"/>
  <c r="O14" i="20"/>
  <c r="Z7" i="20"/>
  <c r="Z40" i="20"/>
  <c r="O22" i="20"/>
  <c r="O13" i="20"/>
  <c r="R12" i="20"/>
  <c r="W11" i="20"/>
  <c r="Z27" i="20"/>
  <c r="Z8" i="20"/>
  <c r="O23" i="21"/>
  <c r="G57" i="21"/>
  <c r="W22" i="21"/>
  <c r="W9" i="21"/>
  <c r="R17" i="20"/>
  <c r="R28" i="20"/>
  <c r="W16" i="20"/>
  <c r="O17" i="20"/>
  <c r="W7" i="21"/>
  <c r="Z22" i="21"/>
  <c r="Z15" i="21"/>
  <c r="W19" i="20"/>
  <c r="R7" i="20"/>
  <c r="W11" i="21"/>
  <c r="Z25" i="21"/>
  <c r="O9" i="21"/>
  <c r="Z40" i="21"/>
  <c r="R31" i="20"/>
  <c r="R21" i="20"/>
  <c r="R24" i="20"/>
  <c r="Z31" i="21"/>
  <c r="Z17" i="21"/>
  <c r="Z26" i="21"/>
  <c r="R8" i="20"/>
  <c r="Z17" i="20"/>
  <c r="Z43" i="20"/>
  <c r="Z39" i="21"/>
  <c r="O15" i="21"/>
  <c r="P7" i="20"/>
  <c r="O26" i="20"/>
  <c r="O18" i="20"/>
  <c r="Z13" i="20"/>
  <c r="R33" i="20"/>
  <c r="Z8" i="21"/>
  <c r="O18" i="21"/>
  <c r="W8" i="21"/>
  <c r="W12" i="21"/>
  <c r="R30" i="20"/>
  <c r="R18" i="20"/>
  <c r="R27" i="21"/>
  <c r="W15" i="21"/>
  <c r="Z16" i="21"/>
  <c r="Z23" i="21"/>
  <c r="O27" i="20"/>
  <c r="O15" i="20"/>
  <c r="Z34" i="20"/>
  <c r="W22" i="20"/>
  <c r="Z10" i="21"/>
  <c r="O11" i="21"/>
  <c r="R25" i="21"/>
  <c r="O26" i="21"/>
  <c r="W15" i="20"/>
  <c r="Z24" i="20"/>
  <c r="W17" i="20"/>
  <c r="Z33" i="21"/>
  <c r="W20" i="21"/>
  <c r="Z41" i="21"/>
  <c r="R22" i="20"/>
  <c r="O10" i="20"/>
  <c r="R11" i="20"/>
  <c r="Z16" i="20"/>
  <c r="Z15" i="20"/>
  <c r="W17" i="21"/>
  <c r="Z38" i="21"/>
  <c r="R13" i="21"/>
  <c r="Z36" i="21"/>
  <c r="Z24" i="21"/>
  <c r="R20" i="21"/>
  <c r="W16" i="21"/>
  <c r="O21" i="20"/>
  <c r="O7" i="20"/>
  <c r="G57" i="20"/>
  <c r="Z28" i="20"/>
  <c r="O25" i="20"/>
  <c r="G54" i="23"/>
  <c r="O10" i="21"/>
  <c r="Z13" i="21"/>
  <c r="O8" i="21"/>
  <c r="Z12" i="21"/>
  <c r="R24" i="21"/>
  <c r="R23" i="21"/>
  <c r="R25" i="20"/>
  <c r="Z10" i="20"/>
  <c r="W14" i="20"/>
  <c r="W20" i="20"/>
  <c r="Z14" i="20"/>
  <c r="W9" i="20"/>
  <c r="Z19" i="20"/>
  <c r="O19" i="20"/>
  <c r="W19" i="21"/>
  <c r="O17" i="21"/>
  <c r="Z34" i="21"/>
  <c r="R32" i="21"/>
  <c r="W21" i="21"/>
  <c r="O19" i="21"/>
  <c r="O13" i="21"/>
  <c r="Z41" i="20"/>
  <c r="R15" i="20"/>
  <c r="Z44" i="20"/>
  <c r="Z4" i="20"/>
  <c r="R29" i="21"/>
  <c r="R16" i="21"/>
  <c r="R26" i="21"/>
  <c r="O24" i="20"/>
  <c r="O23" i="20"/>
  <c r="Z47" i="20"/>
  <c r="R19" i="20"/>
  <c r="Z31" i="20"/>
  <c r="R31" i="21"/>
  <c r="Z37" i="21"/>
  <c r="R14" i="21"/>
  <c r="W18" i="21"/>
  <c r="Z18" i="20"/>
  <c r="R23" i="20"/>
  <c r="Z20" i="20"/>
  <c r="R7" i="21"/>
  <c r="Z18" i="21"/>
  <c r="R17" i="21"/>
  <c r="O11" i="20"/>
  <c r="O20" i="20"/>
  <c r="Z22" i="20"/>
  <c r="W13" i="20"/>
  <c r="R29" i="20"/>
  <c r="Z44" i="21"/>
  <c r="R15" i="21"/>
  <c r="Z46" i="21"/>
  <c r="Z11" i="21"/>
  <c r="Z26" i="20"/>
  <c r="W10" i="20"/>
  <c r="R10" i="21"/>
  <c r="Z9" i="21"/>
  <c r="Z27" i="21"/>
  <c r="R18" i="21"/>
  <c r="Z30" i="20"/>
  <c r="O9" i="20"/>
  <c r="Z9" i="20"/>
  <c r="Z38" i="20"/>
  <c r="R9" i="21"/>
  <c r="Z20" i="21"/>
  <c r="Z4" i="21"/>
  <c r="Z37" i="20"/>
  <c r="O8" i="20"/>
  <c r="W21" i="20"/>
  <c r="R28" i="21"/>
  <c r="O25" i="21"/>
  <c r="Z21" i="21"/>
  <c r="O16" i="20"/>
  <c r="Z32" i="20"/>
  <c r="Z25" i="20"/>
  <c r="Z46" i="20"/>
  <c r="Z14" i="21"/>
  <c r="O20" i="21"/>
  <c r="Z42" i="21"/>
  <c r="W7" i="20"/>
  <c r="W8" i="20"/>
  <c r="Z35" i="21"/>
  <c r="Z7" i="21"/>
  <c r="O14" i="21"/>
  <c r="Z11" i="20"/>
  <c r="Z12" i="20"/>
  <c r="Z36" i="20"/>
  <c r="Z45" i="20"/>
  <c r="AO22" i="15" l="1"/>
  <c r="AO16" i="15"/>
  <c r="AO23" i="15"/>
  <c r="AO21" i="15"/>
  <c r="AO18" i="15"/>
  <c r="AO15" i="15"/>
  <c r="AO20" i="15"/>
  <c r="AO19" i="15"/>
  <c r="AO17" i="15"/>
  <c r="G58" i="21"/>
  <c r="G39" i="21"/>
  <c r="G58" i="20"/>
  <c r="G55" i="23"/>
  <c r="AA540" i="21"/>
  <c r="W592" i="21"/>
  <c r="W644" i="21" s="1"/>
  <c r="W696" i="21" s="1"/>
  <c r="AA554" i="21"/>
  <c r="W606" i="21"/>
  <c r="W658" i="21" s="1"/>
  <c r="W710" i="21" s="1"/>
  <c r="AA530" i="21"/>
  <c r="W582" i="21"/>
  <c r="W634" i="21" s="1"/>
  <c r="W686" i="21" s="1"/>
  <c r="AA550" i="21"/>
  <c r="W602" i="21"/>
  <c r="W654" i="21" s="1"/>
  <c r="W706" i="21" s="1"/>
  <c r="AA59" i="21"/>
  <c r="AA63" i="21"/>
  <c r="AA67" i="21"/>
  <c r="AA71" i="21"/>
  <c r="AA75" i="21"/>
  <c r="AA79" i="21"/>
  <c r="AA83" i="21"/>
  <c r="AA87" i="21"/>
  <c r="AA91" i="21"/>
  <c r="AA95" i="21"/>
  <c r="AA99" i="21"/>
  <c r="AA103" i="21"/>
  <c r="AA107" i="21"/>
  <c r="AA111" i="21"/>
  <c r="AA115" i="21"/>
  <c r="AA119" i="21"/>
  <c r="AA123" i="21"/>
  <c r="AA127" i="21"/>
  <c r="AA131" i="21"/>
  <c r="AA135" i="21"/>
  <c r="AA139" i="21"/>
  <c r="AA143" i="21"/>
  <c r="AA147" i="21"/>
  <c r="AA151" i="21"/>
  <c r="AA155" i="21"/>
  <c r="AA163" i="21"/>
  <c r="AA60" i="21"/>
  <c r="AA64" i="21"/>
  <c r="AA68" i="21"/>
  <c r="AA72" i="21"/>
  <c r="AA76" i="21"/>
  <c r="AA80" i="21"/>
  <c r="AA84" i="21"/>
  <c r="AA88" i="21"/>
  <c r="AA92" i="21"/>
  <c r="AA57" i="21"/>
  <c r="AA61" i="21"/>
  <c r="AA65" i="21"/>
  <c r="AA69" i="21"/>
  <c r="AA73" i="21"/>
  <c r="AA77" i="21"/>
  <c r="AA81" i="21"/>
  <c r="AA85" i="21"/>
  <c r="AA89" i="21"/>
  <c r="AA93" i="21"/>
  <c r="AA97" i="21"/>
  <c r="AA101" i="21"/>
  <c r="AA105" i="21"/>
  <c r="AA109" i="21"/>
  <c r="AA113" i="21"/>
  <c r="AA117" i="21"/>
  <c r="AA121" i="21"/>
  <c r="AA125" i="21"/>
  <c r="AA129" i="21"/>
  <c r="AA133" i="21"/>
  <c r="AA137" i="21"/>
  <c r="AA141" i="21"/>
  <c r="AA145" i="21"/>
  <c r="AA149" i="21"/>
  <c r="AA153" i="21"/>
  <c r="AA157" i="21"/>
  <c r="AA161" i="21"/>
  <c r="AA165" i="21"/>
  <c r="AA169" i="21"/>
  <c r="AA58" i="21"/>
  <c r="AA62" i="21"/>
  <c r="AA66" i="21"/>
  <c r="AA70" i="21"/>
  <c r="AA74" i="21"/>
  <c r="AA78" i="21"/>
  <c r="AA82" i="21"/>
  <c r="AA86" i="21"/>
  <c r="AA90" i="21"/>
  <c r="AA94" i="21"/>
  <c r="AA98" i="21"/>
  <c r="AA102" i="21"/>
  <c r="AA106" i="21"/>
  <c r="AA110" i="21"/>
  <c r="AA114" i="21"/>
  <c r="AA118" i="21"/>
  <c r="AA122" i="21"/>
  <c r="AA126" i="21"/>
  <c r="AA130" i="21"/>
  <c r="AA134" i="21"/>
  <c r="AA138" i="21"/>
  <c r="AA142" i="21"/>
  <c r="AA146" i="21"/>
  <c r="AA150" i="21"/>
  <c r="AA154" i="21"/>
  <c r="AA158" i="21"/>
  <c r="AA162" i="21"/>
  <c r="AA166" i="21"/>
  <c r="AA170" i="21"/>
  <c r="AA108" i="21"/>
  <c r="AA124" i="21"/>
  <c r="AA140" i="21"/>
  <c r="AA156" i="21"/>
  <c r="AA168" i="21"/>
  <c r="AA174" i="21"/>
  <c r="AA178" i="21"/>
  <c r="AA182" i="21"/>
  <c r="AA186" i="21"/>
  <c r="AA190" i="21"/>
  <c r="AA194" i="21"/>
  <c r="AA198" i="21"/>
  <c r="AA202" i="21"/>
  <c r="AA206" i="21"/>
  <c r="AA210" i="21"/>
  <c r="AA214" i="21"/>
  <c r="AA218" i="21"/>
  <c r="AA222" i="21"/>
  <c r="AA226" i="21"/>
  <c r="AA230" i="21"/>
  <c r="AA234" i="21"/>
  <c r="AA238" i="21"/>
  <c r="AA242" i="21"/>
  <c r="AA246" i="21"/>
  <c r="AA250" i="21"/>
  <c r="AA254" i="21"/>
  <c r="AA258" i="21"/>
  <c r="AA262" i="21"/>
  <c r="AA266" i="21"/>
  <c r="AA270" i="21"/>
  <c r="AA276" i="21"/>
  <c r="AA281" i="21"/>
  <c r="AA285" i="21"/>
  <c r="AA290" i="21"/>
  <c r="AA294" i="21"/>
  <c r="AA300" i="21"/>
  <c r="AA306" i="21"/>
  <c r="AA310" i="21"/>
  <c r="AA56" i="21"/>
  <c r="AA96" i="21"/>
  <c r="AA112" i="21"/>
  <c r="AA128" i="21"/>
  <c r="AA144" i="21"/>
  <c r="AA160" i="21"/>
  <c r="AA171" i="21"/>
  <c r="AA175" i="21"/>
  <c r="AA179" i="21"/>
  <c r="AA183" i="21"/>
  <c r="AA187" i="21"/>
  <c r="AA191" i="21"/>
  <c r="AA195" i="21"/>
  <c r="AA199" i="21"/>
  <c r="AA203" i="21"/>
  <c r="AA207" i="21"/>
  <c r="AA215" i="21"/>
  <c r="AA219" i="21"/>
  <c r="AA223" i="21"/>
  <c r="AA227" i="21"/>
  <c r="AA231" i="21"/>
  <c r="AA235" i="21"/>
  <c r="AA239" i="21"/>
  <c r="AA243" i="21"/>
  <c r="AA247" i="21"/>
  <c r="AA251" i="21"/>
  <c r="AA255" i="21"/>
  <c r="AA259" i="21"/>
  <c r="AA267" i="21"/>
  <c r="AA273" i="21"/>
  <c r="AA277" i="21"/>
  <c r="AA282" i="21"/>
  <c r="AA286" i="21"/>
  <c r="AA291" i="21"/>
  <c r="AA297" i="21"/>
  <c r="AA301" i="21"/>
  <c r="AA307" i="21"/>
  <c r="AA313" i="21"/>
  <c r="AA100" i="21"/>
  <c r="AA116" i="21"/>
  <c r="AA132" i="21"/>
  <c r="AA148" i="21"/>
  <c r="AA164" i="21"/>
  <c r="AA172" i="21"/>
  <c r="AA176" i="21"/>
  <c r="AA180" i="21"/>
  <c r="AA184" i="21"/>
  <c r="AA188" i="21"/>
  <c r="AA192" i="21"/>
  <c r="AA196" i="21"/>
  <c r="AA200" i="21"/>
  <c r="AA204" i="21"/>
  <c r="AA208" i="21"/>
  <c r="AA212" i="21"/>
  <c r="AA216" i="21"/>
  <c r="AA220" i="21"/>
  <c r="AA224" i="21"/>
  <c r="AA228" i="21"/>
  <c r="AA232" i="21"/>
  <c r="AA236" i="21"/>
  <c r="AA240" i="21"/>
  <c r="AA244" i="21"/>
  <c r="AA248" i="21"/>
  <c r="AA252" i="21"/>
  <c r="AA256" i="21"/>
  <c r="AA260" i="21"/>
  <c r="AA264" i="21"/>
  <c r="AA268" i="21"/>
  <c r="AA274" i="21"/>
  <c r="AA278" i="21"/>
  <c r="AA283" i="21"/>
  <c r="AA287" i="21"/>
  <c r="AA292" i="21"/>
  <c r="AA298" i="21"/>
  <c r="AA302" i="21"/>
  <c r="AA308" i="21"/>
  <c r="AA314" i="21"/>
  <c r="AA104" i="21"/>
  <c r="AA120" i="21"/>
  <c r="AA136" i="21"/>
  <c r="AA152" i="21"/>
  <c r="AA167" i="21"/>
  <c r="AA173" i="21"/>
  <c r="AA177" i="21"/>
  <c r="AA181" i="21"/>
  <c r="AA185" i="21"/>
  <c r="AA189" i="21"/>
  <c r="AA193" i="21"/>
  <c r="AA197" i="21"/>
  <c r="AA201" i="21"/>
  <c r="AA205" i="21"/>
  <c r="AA209" i="21"/>
  <c r="AA213" i="21"/>
  <c r="AA217" i="21"/>
  <c r="AA221" i="21"/>
  <c r="AA225" i="21"/>
  <c r="AA229" i="21"/>
  <c r="AA233" i="21"/>
  <c r="AA237" i="21"/>
  <c r="AA241" i="21"/>
  <c r="AA245" i="21"/>
  <c r="AA249" i="21"/>
  <c r="AA253" i="21"/>
  <c r="AA257" i="21"/>
  <c r="AA261" i="21"/>
  <c r="AA265" i="21"/>
  <c r="AA269" i="21"/>
  <c r="AA275" i="21"/>
  <c r="AA279" i="21"/>
  <c r="AA284" i="21"/>
  <c r="AA289" i="21"/>
  <c r="AA293" i="21"/>
  <c r="AA299" i="21"/>
  <c r="AA305" i="21"/>
  <c r="AA309" i="21"/>
  <c r="AA363" i="21"/>
  <c r="AA355" i="21"/>
  <c r="AA347" i="21"/>
  <c r="AA339" i="21"/>
  <c r="AA331" i="21"/>
  <c r="AA375" i="21"/>
  <c r="AA362" i="21"/>
  <c r="AA354" i="21"/>
  <c r="AA346" i="21"/>
  <c r="AA338" i="21"/>
  <c r="AA330" i="21"/>
  <c r="AA322" i="21"/>
  <c r="AA365" i="21"/>
  <c r="AA357" i="21"/>
  <c r="AA349" i="21"/>
  <c r="AA341" i="21"/>
  <c r="AA333" i="21"/>
  <c r="AA325" i="21"/>
  <c r="AA317" i="21"/>
  <c r="AA364" i="21"/>
  <c r="AA356" i="21"/>
  <c r="AA348" i="21"/>
  <c r="AA340" i="21"/>
  <c r="AA332" i="21"/>
  <c r="AA324" i="21"/>
  <c r="AA312" i="21"/>
  <c r="AA280" i="21"/>
  <c r="AA271" i="21"/>
  <c r="AA304" i="21"/>
  <c r="AA272" i="21"/>
  <c r="AA311" i="21"/>
  <c r="AA359" i="21"/>
  <c r="AA351" i="21"/>
  <c r="AA343" i="21"/>
  <c r="AA335" i="21"/>
  <c r="AA327" i="21"/>
  <c r="AA366" i="21"/>
  <c r="AA358" i="21"/>
  <c r="AA350" i="21"/>
  <c r="AA342" i="21"/>
  <c r="AA334" i="21"/>
  <c r="AA326" i="21"/>
  <c r="AA318" i="21"/>
  <c r="AA361" i="21"/>
  <c r="AA353" i="21"/>
  <c r="AA345" i="21"/>
  <c r="AA337" i="21"/>
  <c r="AA329" i="21"/>
  <c r="AA321" i="21"/>
  <c r="AA316" i="21"/>
  <c r="AA360" i="21"/>
  <c r="AA352" i="21"/>
  <c r="AA344" i="21"/>
  <c r="AA336" i="21"/>
  <c r="AA328" i="21"/>
  <c r="AA320" i="21"/>
  <c r="AA296" i="21"/>
  <c r="AA319" i="21"/>
  <c r="AA303" i="21"/>
  <c r="AA288" i="21"/>
  <c r="AA323" i="21"/>
  <c r="AA295" i="21"/>
  <c r="AA368" i="21"/>
  <c r="AA381" i="21"/>
  <c r="AA397" i="21"/>
  <c r="AA413" i="21"/>
  <c r="AA378" i="21"/>
  <c r="AA394" i="21"/>
  <c r="AA410" i="21"/>
  <c r="AA379" i="21"/>
  <c r="AA395" i="21"/>
  <c r="AA411" i="21"/>
  <c r="AA384" i="21"/>
  <c r="AA400" i="21"/>
  <c r="AA416" i="21"/>
  <c r="AA374" i="21"/>
  <c r="AA390" i="21"/>
  <c r="AA406" i="21"/>
  <c r="AA372" i="21"/>
  <c r="AA388" i="21"/>
  <c r="AA404" i="21"/>
  <c r="AA369" i="21"/>
  <c r="AA385" i="21"/>
  <c r="AA401" i="21"/>
  <c r="AA417" i="21"/>
  <c r="AA383" i="21"/>
  <c r="AA399" i="21"/>
  <c r="AA415" i="21"/>
  <c r="AA371" i="21"/>
  <c r="AA373" i="21"/>
  <c r="AA389" i="21"/>
  <c r="AA405" i="21"/>
  <c r="AA370" i="21"/>
  <c r="AA386" i="21"/>
  <c r="AA402" i="21"/>
  <c r="AA418" i="21"/>
  <c r="AA387" i="21"/>
  <c r="AA403" i="21"/>
  <c r="AA376" i="21"/>
  <c r="AA392" i="21"/>
  <c r="AA408" i="21"/>
  <c r="AA382" i="21"/>
  <c r="AA398" i="21"/>
  <c r="AA414" i="21"/>
  <c r="AA380" i="21"/>
  <c r="AA396" i="21"/>
  <c r="AA412" i="21"/>
  <c r="AA377" i="21"/>
  <c r="AA393" i="21"/>
  <c r="AA409" i="21"/>
  <c r="AA427" i="21"/>
  <c r="AA391" i="21"/>
  <c r="AA407" i="21"/>
  <c r="AA458" i="21"/>
  <c r="AA426" i="21"/>
  <c r="AA452" i="21"/>
  <c r="AA439" i="21"/>
  <c r="AA454" i="21"/>
  <c r="AA422" i="21"/>
  <c r="AA441" i="21"/>
  <c r="AA467" i="21"/>
  <c r="AA435" i="21"/>
  <c r="AA453" i="21"/>
  <c r="AA421" i="21"/>
  <c r="AA442" i="21"/>
  <c r="AA468" i="21"/>
  <c r="AA436" i="21"/>
  <c r="AA470" i="21"/>
  <c r="AA457" i="21"/>
  <c r="AA423" i="21"/>
  <c r="AA469" i="21"/>
  <c r="AA479" i="21"/>
  <c r="AA432" i="21"/>
  <c r="AA460" i="21"/>
  <c r="AA447" i="21"/>
  <c r="AA430" i="21"/>
  <c r="AA420" i="21"/>
  <c r="AA461" i="21"/>
  <c r="AA440" i="21"/>
  <c r="AA448" i="21"/>
  <c r="AA466" i="21"/>
  <c r="AA434" i="21"/>
  <c r="AA444" i="21"/>
  <c r="AA463" i="21"/>
  <c r="AA431" i="21"/>
  <c r="AA446" i="21"/>
  <c r="AA465" i="21"/>
  <c r="AA433" i="21"/>
  <c r="AA459" i="21"/>
  <c r="AA445" i="21"/>
  <c r="AA456" i="21"/>
  <c r="AA424" i="21"/>
  <c r="AA455" i="21"/>
  <c r="AA438" i="21"/>
  <c r="AA425" i="21"/>
  <c r="AA451" i="21"/>
  <c r="AA437" i="21"/>
  <c r="AA464" i="21"/>
  <c r="AA450" i="21"/>
  <c r="AA428" i="21"/>
  <c r="AA462" i="21"/>
  <c r="AA449" i="21"/>
  <c r="AA443" i="21"/>
  <c r="AA429" i="21"/>
  <c r="Z636" i="21"/>
  <c r="AA501" i="21"/>
  <c r="AA574" i="21"/>
  <c r="W626" i="21"/>
  <c r="W678" i="21" s="1"/>
  <c r="W730" i="21" s="1"/>
  <c r="AA500" i="21"/>
  <c r="AA508" i="21"/>
  <c r="AA522" i="21"/>
  <c r="AA534" i="21"/>
  <c r="W586" i="21"/>
  <c r="W638" i="21" s="1"/>
  <c r="W690" i="21" s="1"/>
  <c r="AA558" i="21"/>
  <c r="W610" i="21"/>
  <c r="W662" i="21" s="1"/>
  <c r="W714" i="21" s="1"/>
  <c r="AA536" i="21"/>
  <c r="W588" i="21"/>
  <c r="W640" i="21" s="1"/>
  <c r="W692" i="21" s="1"/>
  <c r="AA528" i="21"/>
  <c r="W580" i="21"/>
  <c r="W632" i="21" s="1"/>
  <c r="W684" i="21" s="1"/>
  <c r="AA532" i="21"/>
  <c r="W584" i="21"/>
  <c r="W636" i="21" s="1"/>
  <c r="W688" i="21" s="1"/>
  <c r="AA566" i="21"/>
  <c r="W618" i="21"/>
  <c r="W670" i="21" s="1"/>
  <c r="W722" i="21" s="1"/>
  <c r="AA484" i="21"/>
  <c r="AA512" i="21"/>
  <c r="Z603" i="21"/>
  <c r="AA551" i="21"/>
  <c r="AA482" i="21"/>
  <c r="AA472" i="21"/>
  <c r="Z617" i="21"/>
  <c r="AA565" i="21"/>
  <c r="Z648" i="21"/>
  <c r="AA568" i="21"/>
  <c r="W620" i="21"/>
  <c r="W672" i="21" s="1"/>
  <c r="W724" i="21" s="1"/>
  <c r="AA232" i="20"/>
  <c r="AA236" i="20"/>
  <c r="AA240" i="20"/>
  <c r="AA244" i="20"/>
  <c r="AA248" i="20"/>
  <c r="AA252" i="20"/>
  <c r="AA256" i="20"/>
  <c r="AA260" i="20"/>
  <c r="AA264" i="20"/>
  <c r="AA268" i="20"/>
  <c r="AA186" i="20"/>
  <c r="AA190" i="20"/>
  <c r="AA194" i="20"/>
  <c r="AA198" i="20"/>
  <c r="AA202" i="20"/>
  <c r="AA206" i="20"/>
  <c r="AA210" i="20"/>
  <c r="AA214" i="20"/>
  <c r="AA218" i="20"/>
  <c r="AA222" i="20"/>
  <c r="AA226" i="20"/>
  <c r="AA144" i="20"/>
  <c r="AA148" i="20"/>
  <c r="AA152" i="20"/>
  <c r="AA156" i="20"/>
  <c r="AA160" i="20"/>
  <c r="AA164" i="20"/>
  <c r="AA168" i="20"/>
  <c r="AA172" i="20"/>
  <c r="AA176" i="20"/>
  <c r="AA180" i="20"/>
  <c r="AA184" i="20"/>
  <c r="AA102" i="20"/>
  <c r="AA106" i="20"/>
  <c r="AA110" i="20"/>
  <c r="AA114" i="20"/>
  <c r="AA118" i="20"/>
  <c r="AA122" i="20"/>
  <c r="AA126" i="20"/>
  <c r="AA130" i="20"/>
  <c r="AA134" i="20"/>
  <c r="AA138" i="20"/>
  <c r="AA99" i="20"/>
  <c r="AA59" i="20"/>
  <c r="AA63" i="20"/>
  <c r="AA67" i="20"/>
  <c r="AA71" i="20"/>
  <c r="AA75" i="20"/>
  <c r="AA79" i="20"/>
  <c r="AA83" i="20"/>
  <c r="AA87" i="20"/>
  <c r="AA91" i="20"/>
  <c r="AA95" i="20"/>
  <c r="AA56" i="20"/>
  <c r="AA229" i="20"/>
  <c r="AA233" i="20"/>
  <c r="AA237" i="20"/>
  <c r="AA241" i="20"/>
  <c r="AA245" i="20"/>
  <c r="AA249" i="20"/>
  <c r="AA253" i="20"/>
  <c r="AA257" i="20"/>
  <c r="AA261" i="20"/>
  <c r="AA265" i="20"/>
  <c r="AA269" i="20"/>
  <c r="AA187" i="20"/>
  <c r="AA191" i="20"/>
  <c r="AA195" i="20"/>
  <c r="AA199" i="20"/>
  <c r="AA203" i="20"/>
  <c r="AA207" i="20"/>
  <c r="AA211" i="20"/>
  <c r="AA215" i="20"/>
  <c r="AA219" i="20"/>
  <c r="AA223" i="20"/>
  <c r="AA227" i="20"/>
  <c r="AA145" i="20"/>
  <c r="AA149" i="20"/>
  <c r="AA153" i="20"/>
  <c r="AA157" i="20"/>
  <c r="AA161" i="20"/>
  <c r="AA165" i="20"/>
  <c r="AA169" i="20"/>
  <c r="AA173" i="20"/>
  <c r="AA177" i="20"/>
  <c r="AA181" i="20"/>
  <c r="AA142" i="20"/>
  <c r="AA103" i="20"/>
  <c r="AA107" i="20"/>
  <c r="AA111" i="20"/>
  <c r="AA115" i="20"/>
  <c r="AA119" i="20"/>
  <c r="AA123" i="20"/>
  <c r="AA127" i="20"/>
  <c r="AA131" i="20"/>
  <c r="AA135" i="20"/>
  <c r="AA139" i="20"/>
  <c r="AA60" i="20"/>
  <c r="AA64" i="20"/>
  <c r="AA68" i="20"/>
  <c r="AA72" i="20"/>
  <c r="AA76" i="20"/>
  <c r="AA80" i="20"/>
  <c r="AA84" i="20"/>
  <c r="AA88" i="20"/>
  <c r="AA92" i="20"/>
  <c r="AA96" i="20"/>
  <c r="Y51" i="20"/>
  <c r="Z51" i="20" s="1"/>
  <c r="AA230" i="20"/>
  <c r="AA234" i="20"/>
  <c r="AA238" i="20"/>
  <c r="AA242" i="20"/>
  <c r="AA246" i="20"/>
  <c r="AA250" i="20"/>
  <c r="AA254" i="20"/>
  <c r="AA258" i="20"/>
  <c r="AA262" i="20"/>
  <c r="AA266" i="20"/>
  <c r="AA270" i="20"/>
  <c r="AA188" i="20"/>
  <c r="AA192" i="20"/>
  <c r="AA196" i="20"/>
  <c r="AA200" i="20"/>
  <c r="AA204" i="20"/>
  <c r="AA208" i="20"/>
  <c r="AA212" i="20"/>
  <c r="AA216" i="20"/>
  <c r="AA220" i="20"/>
  <c r="AA224" i="20"/>
  <c r="AA185" i="20"/>
  <c r="AA146" i="20"/>
  <c r="AA150" i="20"/>
  <c r="AA154" i="20"/>
  <c r="AA158" i="20"/>
  <c r="AA162" i="20"/>
  <c r="AA166" i="20"/>
  <c r="AA170" i="20"/>
  <c r="AA174" i="20"/>
  <c r="AA178" i="20"/>
  <c r="AA182" i="20"/>
  <c r="AA100" i="20"/>
  <c r="AA104" i="20"/>
  <c r="AA108" i="20"/>
  <c r="AA112" i="20"/>
  <c r="AA116" i="20"/>
  <c r="AA120" i="20"/>
  <c r="AA124" i="20"/>
  <c r="AA128" i="20"/>
  <c r="AA132" i="20"/>
  <c r="AA136" i="20"/>
  <c r="AA140" i="20"/>
  <c r="AA57" i="20"/>
  <c r="AA61" i="20"/>
  <c r="AA65" i="20"/>
  <c r="AA69" i="20"/>
  <c r="AA73" i="20"/>
  <c r="AA77" i="20"/>
  <c r="AA81" i="20"/>
  <c r="AA85" i="20"/>
  <c r="AA89" i="20"/>
  <c r="AA93" i="20"/>
  <c r="AA97" i="20"/>
  <c r="AA231" i="20"/>
  <c r="AA235" i="20"/>
  <c r="AA239" i="20"/>
  <c r="AA243" i="20"/>
  <c r="AA247" i="20"/>
  <c r="AA251" i="20"/>
  <c r="AA255" i="20"/>
  <c r="AA259" i="20"/>
  <c r="AA263" i="20"/>
  <c r="AA267" i="20"/>
  <c r="AA228" i="20"/>
  <c r="AA189" i="20"/>
  <c r="AA193" i="20"/>
  <c r="AA197" i="20"/>
  <c r="AA201" i="20"/>
  <c r="AA205" i="20"/>
  <c r="AA209" i="20"/>
  <c r="AA213" i="20"/>
  <c r="AA217" i="20"/>
  <c r="AA221" i="20"/>
  <c r="AA225" i="20"/>
  <c r="AA143" i="20"/>
  <c r="AA147" i="20"/>
  <c r="AA151" i="20"/>
  <c r="AA155" i="20"/>
  <c r="AA159" i="20"/>
  <c r="AA163" i="20"/>
  <c r="AA167" i="20"/>
  <c r="AA171" i="20"/>
  <c r="AA175" i="20"/>
  <c r="AA179" i="20"/>
  <c r="AA183" i="20"/>
  <c r="AA101" i="20"/>
  <c r="AA105" i="20"/>
  <c r="AA109" i="20"/>
  <c r="AA113" i="20"/>
  <c r="AA117" i="20"/>
  <c r="AA121" i="20"/>
  <c r="AA125" i="20"/>
  <c r="AA129" i="20"/>
  <c r="AA133" i="20"/>
  <c r="AA137" i="20"/>
  <c r="AA141" i="20"/>
  <c r="AA58" i="20"/>
  <c r="AA62" i="20"/>
  <c r="AA66" i="20"/>
  <c r="AA70" i="20"/>
  <c r="AA74" i="20"/>
  <c r="AA78" i="20"/>
  <c r="AA82" i="20"/>
  <c r="AA86" i="20"/>
  <c r="AA90" i="20"/>
  <c r="AA94" i="20"/>
  <c r="AA98" i="20"/>
  <c r="AA486" i="21"/>
  <c r="Z619" i="21"/>
  <c r="AA567" i="21"/>
  <c r="AA602" i="21"/>
  <c r="Z654" i="21"/>
  <c r="AA511" i="21"/>
  <c r="Z611" i="21"/>
  <c r="AA559" i="21"/>
  <c r="AA477" i="21"/>
  <c r="Z593" i="21"/>
  <c r="AA541" i="21"/>
  <c r="Z666" i="21"/>
  <c r="AA504" i="21"/>
  <c r="Z595" i="21"/>
  <c r="AA543" i="21"/>
  <c r="AA474" i="21"/>
  <c r="AA519" i="21"/>
  <c r="Z609" i="21"/>
  <c r="AA557" i="21"/>
  <c r="AA531" i="21"/>
  <c r="AA497" i="21"/>
  <c r="AA520" i="21"/>
  <c r="Z678" i="21"/>
  <c r="AA626" i="21"/>
  <c r="Z579" i="21"/>
  <c r="AA527" i="21"/>
  <c r="AA546" i="21"/>
  <c r="W598" i="21"/>
  <c r="W650" i="21" s="1"/>
  <c r="W702" i="21" s="1"/>
  <c r="AA516" i="21"/>
  <c r="AA506" i="21"/>
  <c r="Z676" i="21"/>
  <c r="AA475" i="21"/>
  <c r="AA562" i="21"/>
  <c r="W614" i="21"/>
  <c r="W666" i="21" s="1"/>
  <c r="W718" i="21" s="1"/>
  <c r="AA538" i="21"/>
  <c r="W590" i="21"/>
  <c r="W642" i="21" s="1"/>
  <c r="W694" i="21" s="1"/>
  <c r="AA544" i="21"/>
  <c r="W596" i="21"/>
  <c r="W648" i="21" s="1"/>
  <c r="W700" i="21" s="1"/>
  <c r="AA556" i="21"/>
  <c r="W608" i="21"/>
  <c r="W660" i="21" s="1"/>
  <c r="W712" i="21" s="1"/>
  <c r="Z640" i="21"/>
  <c r="AA616" i="21"/>
  <c r="Z668" i="21"/>
  <c r="AA499" i="21"/>
  <c r="Z638" i="21"/>
  <c r="Z576" i="21"/>
  <c r="AA524" i="21"/>
  <c r="AA513" i="21"/>
  <c r="AA492" i="21"/>
  <c r="AA572" i="21"/>
  <c r="W624" i="21"/>
  <c r="W676" i="21" s="1"/>
  <c r="W728" i="21" s="1"/>
  <c r="Z642" i="21"/>
  <c r="AA590" i="21"/>
  <c r="AA515" i="21"/>
  <c r="AA498" i="21"/>
  <c r="Z615" i="21"/>
  <c r="AA563" i="21"/>
  <c r="AA507" i="21"/>
  <c r="AA529" i="21"/>
  <c r="Z581" i="21"/>
  <c r="AA489" i="21"/>
  <c r="AA510" i="21"/>
  <c r="AA608" i="21"/>
  <c r="Z660" i="21"/>
  <c r="AA491" i="21"/>
  <c r="Z630" i="21"/>
  <c r="AA571" i="21"/>
  <c r="Z623" i="21"/>
  <c r="AA505" i="21"/>
  <c r="AA583" i="21"/>
  <c r="Z635" i="21"/>
  <c r="AA485" i="21"/>
  <c r="AA476" i="21"/>
  <c r="Z650" i="21"/>
  <c r="AA488" i="21"/>
  <c r="Z613" i="21"/>
  <c r="AA561" i="21"/>
  <c r="AA521" i="21"/>
  <c r="AA564" i="21"/>
  <c r="W616" i="21"/>
  <c r="W668" i="21" s="1"/>
  <c r="W720" i="21" s="1"/>
  <c r="AA502" i="21"/>
  <c r="AA514" i="21"/>
  <c r="Z599" i="21"/>
  <c r="AA547" i="21"/>
  <c r="Z585" i="21"/>
  <c r="AA533" i="21"/>
  <c r="X59" i="21"/>
  <c r="X63" i="21"/>
  <c r="X67" i="21"/>
  <c r="X71" i="21"/>
  <c r="X75" i="21"/>
  <c r="X79" i="21"/>
  <c r="X83" i="21"/>
  <c r="X87" i="21"/>
  <c r="X91" i="21"/>
  <c r="X95" i="21"/>
  <c r="X99" i="21"/>
  <c r="X103" i="21"/>
  <c r="X107" i="21"/>
  <c r="X60" i="21"/>
  <c r="X64" i="21"/>
  <c r="X68" i="21"/>
  <c r="X72" i="21"/>
  <c r="X76" i="21"/>
  <c r="X80" i="21"/>
  <c r="X84" i="21"/>
  <c r="X88" i="21"/>
  <c r="X92" i="21"/>
  <c r="X96" i="21"/>
  <c r="X100" i="21"/>
  <c r="X104" i="21"/>
  <c r="X57" i="21"/>
  <c r="X61" i="21"/>
  <c r="X65" i="21"/>
  <c r="X69" i="21"/>
  <c r="X73" i="21"/>
  <c r="X77" i="21"/>
  <c r="X81" i="21"/>
  <c r="X85" i="21"/>
  <c r="X89" i="21"/>
  <c r="X93" i="21"/>
  <c r="X97" i="21"/>
  <c r="X101" i="21"/>
  <c r="X105" i="21"/>
  <c r="X56" i="21"/>
  <c r="W159" i="21"/>
  <c r="W211" i="21" s="1"/>
  <c r="W263" i="21" s="1"/>
  <c r="W315" i="21" s="1"/>
  <c r="W367" i="21" s="1"/>
  <c r="W419" i="21" s="1"/>
  <c r="W471" i="21" s="1"/>
  <c r="W523" i="21" s="1"/>
  <c r="W575" i="21" s="1"/>
  <c r="W627" i="21" s="1"/>
  <c r="W679" i="21" s="1"/>
  <c r="W731" i="21" s="1"/>
  <c r="X58" i="21"/>
  <c r="X62" i="21"/>
  <c r="X66" i="21"/>
  <c r="X70" i="21"/>
  <c r="X74" i="21"/>
  <c r="X78" i="21"/>
  <c r="X82" i="21"/>
  <c r="X86" i="21"/>
  <c r="X90" i="21"/>
  <c r="X94" i="21"/>
  <c r="X98" i="21"/>
  <c r="X102" i="21"/>
  <c r="X106" i="21"/>
  <c r="Z652" i="21"/>
  <c r="Z587" i="21"/>
  <c r="AA535" i="21"/>
  <c r="AA517" i="21"/>
  <c r="AA490" i="21"/>
  <c r="Z607" i="21"/>
  <c r="AA555" i="21"/>
  <c r="Z634" i="21"/>
  <c r="AA582" i="21"/>
  <c r="Z627" i="21"/>
  <c r="AA493" i="21"/>
  <c r="Z591" i="21"/>
  <c r="AA539" i="21"/>
  <c r="Z577" i="21"/>
  <c r="AA525" i="21"/>
  <c r="Z601" i="21"/>
  <c r="AA549" i="21"/>
  <c r="AA542" i="21"/>
  <c r="W594" i="21"/>
  <c r="W646" i="21" s="1"/>
  <c r="W698" i="21" s="1"/>
  <c r="AA552" i="21"/>
  <c r="W604" i="21"/>
  <c r="W656" i="21" s="1"/>
  <c r="W708" i="21" s="1"/>
  <c r="AA560" i="21"/>
  <c r="W612" i="21"/>
  <c r="W664" i="21" s="1"/>
  <c r="W716" i="21" s="1"/>
  <c r="AA548" i="21"/>
  <c r="W600" i="21"/>
  <c r="W652" i="21" s="1"/>
  <c r="W704" i="21" s="1"/>
  <c r="AA620" i="21"/>
  <c r="Z672" i="21"/>
  <c r="Z658" i="21"/>
  <c r="AA606" i="21"/>
  <c r="AA480" i="21"/>
  <c r="Z670" i="21"/>
  <c r="AA618" i="21"/>
  <c r="Z605" i="21"/>
  <c r="AA553" i="21"/>
  <c r="AA495" i="21"/>
  <c r="AA481" i="21"/>
  <c r="AA518" i="21"/>
  <c r="W570" i="21"/>
  <c r="AA526" i="21"/>
  <c r="W578" i="21"/>
  <c r="W630" i="21" s="1"/>
  <c r="W682" i="21" s="1"/>
  <c r="AA604" i="21"/>
  <c r="Z656" i="21"/>
  <c r="AA496" i="21"/>
  <c r="AA483" i="21"/>
  <c r="Z621" i="21"/>
  <c r="AA569" i="21"/>
  <c r="Z664" i="21"/>
  <c r="Z646" i="21"/>
  <c r="AA503" i="21"/>
  <c r="AA478" i="21"/>
  <c r="AA610" i="21"/>
  <c r="Z662" i="21"/>
  <c r="AA545" i="21"/>
  <c r="Z597" i="21"/>
  <c r="AA487" i="21"/>
  <c r="AA473" i="21"/>
  <c r="Z589" i="21"/>
  <c r="AA537" i="21"/>
  <c r="AA580" i="21"/>
  <c r="Z632" i="21"/>
  <c r="AA494" i="21"/>
  <c r="Z644" i="21"/>
  <c r="AA592" i="21"/>
  <c r="AA509" i="21"/>
  <c r="Z625" i="21"/>
  <c r="AA573" i="21"/>
  <c r="AA509" i="23"/>
  <c r="AA541" i="23"/>
  <c r="AA525" i="23"/>
  <c r="AA554" i="23"/>
  <c r="AA537" i="23"/>
  <c r="AA531" i="23"/>
  <c r="AA545" i="23"/>
  <c r="AA560" i="23"/>
  <c r="AA570" i="23"/>
  <c r="AA536" i="23"/>
  <c r="AA540" i="23"/>
  <c r="AA568" i="23"/>
  <c r="AA528" i="23"/>
  <c r="AA529" i="23"/>
  <c r="AA544" i="23"/>
  <c r="AA527" i="23"/>
  <c r="AA526" i="23"/>
  <c r="AA534" i="23"/>
  <c r="AA543" i="23"/>
  <c r="AA501" i="23"/>
  <c r="AA505" i="23"/>
  <c r="AA515" i="23"/>
  <c r="AA564" i="23"/>
  <c r="AA542" i="23"/>
  <c r="AA548" i="23"/>
  <c r="AA532" i="23"/>
  <c r="AA513" i="23"/>
  <c r="AA523" i="23"/>
  <c r="AA552" i="23"/>
  <c r="AA497" i="23"/>
  <c r="AA566" i="23"/>
  <c r="AA572" i="23"/>
  <c r="AA533" i="23"/>
  <c r="AA530" i="23"/>
  <c r="AA495" i="23"/>
  <c r="AA494" i="23"/>
  <c r="AA517" i="23"/>
  <c r="AA507" i="23"/>
  <c r="AA524" i="23"/>
  <c r="AA503" i="23"/>
  <c r="AA558" i="23"/>
  <c r="AA519" i="23"/>
  <c r="AA539" i="23"/>
  <c r="AA511" i="23"/>
  <c r="AA556" i="23"/>
  <c r="AA499" i="23"/>
  <c r="AA550" i="23"/>
  <c r="AA521" i="23"/>
  <c r="AA538" i="23"/>
  <c r="AA574" i="23"/>
  <c r="AA562" i="23"/>
  <c r="AA535" i="23"/>
  <c r="G40" i="21"/>
  <c r="G41" i="21" s="1"/>
  <c r="G42" i="21" s="1"/>
  <c r="Y51" i="21"/>
  <c r="Z51" i="21" s="1"/>
  <c r="G72" i="20"/>
  <c r="G73" i="20" s="1"/>
  <c r="G75" i="20" s="1"/>
  <c r="G69" i="20"/>
  <c r="H66" i="20"/>
  <c r="G66" i="20"/>
  <c r="G54" i="21"/>
  <c r="G55" i="21" l="1"/>
  <c r="AA646" i="21"/>
  <c r="Z698" i="21"/>
  <c r="AA656" i="21"/>
  <c r="Z708" i="21"/>
  <c r="AA652" i="21"/>
  <c r="Z704" i="21"/>
  <c r="AA585" i="21"/>
  <c r="Z637" i="21"/>
  <c r="AA640" i="21"/>
  <c r="Z692" i="21"/>
  <c r="AA619" i="21"/>
  <c r="Z671" i="21"/>
  <c r="AA648" i="21"/>
  <c r="Z700" i="21"/>
  <c r="AA692" i="21"/>
  <c r="AA636" i="21"/>
  <c r="Z688" i="21"/>
  <c r="AA644" i="21"/>
  <c r="Z696" i="21"/>
  <c r="AA597" i="21"/>
  <c r="Z649" i="21"/>
  <c r="AA523" i="21"/>
  <c r="AA594" i="21"/>
  <c r="AA621" i="21"/>
  <c r="Z673" i="21"/>
  <c r="AA605" i="21"/>
  <c r="Z657" i="21"/>
  <c r="AA704" i="21"/>
  <c r="AA708" i="21"/>
  <c r="AA634" i="21"/>
  <c r="Z686" i="21"/>
  <c r="AA600" i="21"/>
  <c r="AA613" i="21"/>
  <c r="Z665" i="21"/>
  <c r="AA578" i="21"/>
  <c r="Z628" i="21"/>
  <c r="AA576" i="21"/>
  <c r="AA668" i="21"/>
  <c r="Z720" i="21"/>
  <c r="AA720" i="21" s="1"/>
  <c r="AA676" i="21"/>
  <c r="Z728" i="21"/>
  <c r="AA678" i="21"/>
  <c r="Z730" i="21"/>
  <c r="AA730" i="21" s="1"/>
  <c r="AA666" i="21"/>
  <c r="Z718" i="21"/>
  <c r="AA654" i="21"/>
  <c r="Z706" i="21"/>
  <c r="AA596" i="21"/>
  <c r="AA584" i="21"/>
  <c r="AA419" i="21"/>
  <c r="AA367" i="21"/>
  <c r="AA315" i="21"/>
  <c r="AA263" i="21"/>
  <c r="AA159" i="21"/>
  <c r="AA686" i="21"/>
  <c r="AA696" i="21"/>
  <c r="AA601" i="21"/>
  <c r="Z653" i="21"/>
  <c r="AA591" i="21"/>
  <c r="Z643" i="21"/>
  <c r="AA630" i="21"/>
  <c r="Z682" i="21"/>
  <c r="AA682" i="21" s="1"/>
  <c r="AA624" i="21"/>
  <c r="AA593" i="21"/>
  <c r="Z645" i="21"/>
  <c r="AA688" i="21"/>
  <c r="AA625" i="21"/>
  <c r="Z677" i="21"/>
  <c r="AA589" i="21"/>
  <c r="Z641" i="21"/>
  <c r="AA612" i="21"/>
  <c r="AA658" i="21"/>
  <c r="Z710" i="21"/>
  <c r="AA577" i="21"/>
  <c r="Z629" i="21"/>
  <c r="AA575" i="21"/>
  <c r="AA599" i="21"/>
  <c r="Z651" i="21"/>
  <c r="AA623" i="21"/>
  <c r="Z675" i="21"/>
  <c r="AA586" i="21"/>
  <c r="AA614" i="21"/>
  <c r="AA471" i="21"/>
  <c r="AA211" i="21"/>
  <c r="AA570" i="21"/>
  <c r="W622" i="21"/>
  <c r="AA650" i="21"/>
  <c r="Z702" i="21"/>
  <c r="AA702" i="21" s="1"/>
  <c r="AA728" i="21"/>
  <c r="AA632" i="21"/>
  <c r="Z684" i="21"/>
  <c r="AA684" i="21" s="1"/>
  <c r="AA662" i="21"/>
  <c r="Z714" i="21"/>
  <c r="AA714" i="21" s="1"/>
  <c r="AA664" i="21"/>
  <c r="Z716" i="21"/>
  <c r="AA670" i="21"/>
  <c r="Z722" i="21"/>
  <c r="AA722" i="21" s="1"/>
  <c r="AA672" i="21"/>
  <c r="Z724" i="21"/>
  <c r="AA724" i="21" s="1"/>
  <c r="AA716" i="21"/>
  <c r="AA698" i="21"/>
  <c r="AA627" i="21"/>
  <c r="Z679" i="21"/>
  <c r="AA607" i="21"/>
  <c r="Z659" i="21"/>
  <c r="AA587" i="21"/>
  <c r="Z639" i="21"/>
  <c r="AA598" i="21"/>
  <c r="AA635" i="21"/>
  <c r="Z687" i="21"/>
  <c r="AA687" i="21" s="1"/>
  <c r="AA660" i="21"/>
  <c r="Z712" i="21"/>
  <c r="AA712" i="21" s="1"/>
  <c r="AA581" i="21"/>
  <c r="Z633" i="21"/>
  <c r="AA615" i="21"/>
  <c r="Z667" i="21"/>
  <c r="AA642" i="21"/>
  <c r="Z694" i="21"/>
  <c r="AA694" i="21" s="1"/>
  <c r="AA638" i="21"/>
  <c r="Z690" i="21"/>
  <c r="AA690" i="21" s="1"/>
  <c r="AA588" i="21"/>
  <c r="AA700" i="21"/>
  <c r="AA718" i="21"/>
  <c r="AA579" i="21"/>
  <c r="Z631" i="21"/>
  <c r="AA609" i="21"/>
  <c r="Z661" i="21"/>
  <c r="AA595" i="21"/>
  <c r="Z647" i="21"/>
  <c r="AA611" i="21"/>
  <c r="Z663" i="21"/>
  <c r="AA617" i="21"/>
  <c r="Z669" i="21"/>
  <c r="AA603" i="21"/>
  <c r="Z655" i="21"/>
  <c r="AA706" i="21"/>
  <c r="AA710" i="21"/>
  <c r="AA563" i="23"/>
  <c r="AA555" i="23"/>
  <c r="AA587" i="23"/>
  <c r="AA573" i="23"/>
  <c r="AA546" i="23"/>
  <c r="AA624" i="23"/>
  <c r="AA575" i="23"/>
  <c r="AA594" i="23"/>
  <c r="AA553" i="23"/>
  <c r="AA579" i="23"/>
  <c r="AA620" i="23"/>
  <c r="AA612" i="23"/>
  <c r="AA606" i="23"/>
  <c r="AA602" i="23"/>
  <c r="AA547" i="23"/>
  <c r="AA565" i="23"/>
  <c r="AA616" i="23"/>
  <c r="AA577" i="23"/>
  <c r="AA614" i="23"/>
  <c r="AA591" i="23"/>
  <c r="AA576" i="23"/>
  <c r="AA618" i="23"/>
  <c r="AA595" i="23"/>
  <c r="AA596" i="23"/>
  <c r="AA592" i="23"/>
  <c r="AA597" i="23"/>
  <c r="AA551" i="23"/>
  <c r="AA571" i="23"/>
  <c r="AA559" i="23"/>
  <c r="AA549" i="23"/>
  <c r="AA567" i="23"/>
  <c r="AA586" i="23"/>
  <c r="AA593" i="23"/>
  <c r="AA626" i="23"/>
  <c r="AA582" i="23"/>
  <c r="AA584" i="23"/>
  <c r="AA581" i="23"/>
  <c r="AA588" i="23"/>
  <c r="AA583" i="23"/>
  <c r="AA557" i="23"/>
  <c r="AA580" i="23"/>
  <c r="AA561" i="23"/>
  <c r="AA590" i="23"/>
  <c r="AA608" i="23"/>
  <c r="AA610" i="23"/>
  <c r="AA569" i="23"/>
  <c r="AA585" i="23"/>
  <c r="AA604" i="23"/>
  <c r="AA600" i="23"/>
  <c r="AA578" i="23"/>
  <c r="AA622" i="23"/>
  <c r="AA589" i="23"/>
  <c r="G62" i="20"/>
  <c r="A74" i="15"/>
  <c r="G40" i="15"/>
  <c r="G19" i="15"/>
  <c r="G10" i="15"/>
  <c r="G16" i="15" s="1"/>
  <c r="G27" i="15" l="1"/>
  <c r="G11" i="15"/>
  <c r="G44" i="15" s="1"/>
  <c r="G64" i="15"/>
  <c r="AA655" i="21"/>
  <c r="Z707" i="21"/>
  <c r="AA707" i="21" s="1"/>
  <c r="AA663" i="21"/>
  <c r="Z715" i="21"/>
  <c r="AA715" i="21" s="1"/>
  <c r="AA661" i="21"/>
  <c r="Z713" i="21"/>
  <c r="AA713" i="21" s="1"/>
  <c r="AA639" i="21"/>
  <c r="Z691" i="21"/>
  <c r="AA691" i="21" s="1"/>
  <c r="Z731" i="21"/>
  <c r="AA731" i="21" s="1"/>
  <c r="AA679" i="21"/>
  <c r="AA675" i="21"/>
  <c r="Z727" i="21"/>
  <c r="AA727" i="21" s="1"/>
  <c r="AA653" i="21"/>
  <c r="Z705" i="21"/>
  <c r="AA705" i="21" s="1"/>
  <c r="AA637" i="21"/>
  <c r="Z689" i="21"/>
  <c r="AA689" i="21" s="1"/>
  <c r="AA633" i="21"/>
  <c r="Z685" i="21"/>
  <c r="AA685" i="21" s="1"/>
  <c r="AA629" i="21"/>
  <c r="Z681" i="21"/>
  <c r="AA681" i="21" s="1"/>
  <c r="AA677" i="21"/>
  <c r="Z729" i="21"/>
  <c r="AA729" i="21" s="1"/>
  <c r="AA645" i="21"/>
  <c r="Z697" i="21"/>
  <c r="AA697" i="21" s="1"/>
  <c r="AA628" i="21"/>
  <c r="Z680" i="21"/>
  <c r="AA680" i="21" s="1"/>
  <c r="AA673" i="21"/>
  <c r="Z725" i="21"/>
  <c r="AA725" i="21" s="1"/>
  <c r="AA649" i="21"/>
  <c r="Z701" i="21"/>
  <c r="AA701" i="21" s="1"/>
  <c r="AA669" i="21"/>
  <c r="Z721" i="21"/>
  <c r="AA721" i="21" s="1"/>
  <c r="AA647" i="21"/>
  <c r="Z699" i="21"/>
  <c r="AA699" i="21" s="1"/>
  <c r="AA631" i="21"/>
  <c r="Z683" i="21"/>
  <c r="AA683" i="21" s="1"/>
  <c r="AA659" i="21"/>
  <c r="Z711" i="21"/>
  <c r="AA711" i="21" s="1"/>
  <c r="AA622" i="21"/>
  <c r="W674" i="21"/>
  <c r="AA651" i="21"/>
  <c r="Z703" i="21"/>
  <c r="AA703" i="21" s="1"/>
  <c r="AA643" i="21"/>
  <c r="Z695" i="21"/>
  <c r="AA695" i="21" s="1"/>
  <c r="AA667" i="21"/>
  <c r="Z719" i="21"/>
  <c r="AA719" i="21" s="1"/>
  <c r="AA641" i="21"/>
  <c r="Z693" i="21"/>
  <c r="AA693" i="21" s="1"/>
  <c r="AA665" i="21"/>
  <c r="Z717" i="21"/>
  <c r="AA717" i="21" s="1"/>
  <c r="AA657" i="21"/>
  <c r="Z709" i="21"/>
  <c r="AA709" i="21" s="1"/>
  <c r="AA671" i="21"/>
  <c r="Z723" i="21"/>
  <c r="AA723" i="21" s="1"/>
  <c r="AA693" i="23"/>
  <c r="AA641" i="23"/>
  <c r="AA712" i="23"/>
  <c r="AA660" i="23"/>
  <c r="AA609" i="23"/>
  <c r="AA623" i="23"/>
  <c r="AA648" i="23"/>
  <c r="AA700" i="23"/>
  <c r="AA698" i="23"/>
  <c r="AA646" i="23"/>
  <c r="AA656" i="23"/>
  <c r="AA708" i="23"/>
  <c r="AA688" i="23"/>
  <c r="AA636" i="23"/>
  <c r="AA638" i="23"/>
  <c r="AA690" i="23"/>
  <c r="AA695" i="23"/>
  <c r="AA643" i="23"/>
  <c r="AA617" i="23"/>
  <c r="AA664" i="23"/>
  <c r="AA716" i="23"/>
  <c r="AA625" i="23"/>
  <c r="AA726" i="23"/>
  <c r="AA674" i="23"/>
  <c r="AA689" i="23"/>
  <c r="AA637" i="23"/>
  <c r="AA694" i="23"/>
  <c r="AA642" i="23"/>
  <c r="AA687" i="23"/>
  <c r="AA635" i="23"/>
  <c r="AA686" i="23"/>
  <c r="AA634" i="23"/>
  <c r="AA691" i="23"/>
  <c r="AA639" i="23"/>
  <c r="AA619" i="23"/>
  <c r="AA603" i="23"/>
  <c r="AA699" i="23"/>
  <c r="AA647" i="23"/>
  <c r="AA718" i="23"/>
  <c r="AA666" i="23"/>
  <c r="AA599" i="23"/>
  <c r="AA672" i="23"/>
  <c r="AA724" i="23"/>
  <c r="AA627" i="23"/>
  <c r="AA682" i="23"/>
  <c r="AA630" i="23"/>
  <c r="AA701" i="23"/>
  <c r="AA649" i="23"/>
  <c r="AA728" i="23"/>
  <c r="AA676" i="23"/>
  <c r="AA621" i="23"/>
  <c r="AA613" i="23"/>
  <c r="AA640" i="23"/>
  <c r="AA692" i="23"/>
  <c r="AA730" i="23"/>
  <c r="AA678" i="23"/>
  <c r="AA601" i="23"/>
  <c r="AA722" i="23"/>
  <c r="AA670" i="23"/>
  <c r="AA681" i="23"/>
  <c r="AA629" i="23"/>
  <c r="AA654" i="23"/>
  <c r="AA706" i="23"/>
  <c r="AA683" i="23"/>
  <c r="AA631" i="23"/>
  <c r="AA607" i="23"/>
  <c r="AA632" i="23"/>
  <c r="AA684" i="23"/>
  <c r="AA685" i="23"/>
  <c r="AA633" i="23"/>
  <c r="AA696" i="23"/>
  <c r="AA644" i="23"/>
  <c r="AA720" i="23"/>
  <c r="AA668" i="23"/>
  <c r="AA710" i="23"/>
  <c r="AA658" i="23"/>
  <c r="AA704" i="23"/>
  <c r="AA652" i="23"/>
  <c r="AA714" i="23"/>
  <c r="AA662" i="23"/>
  <c r="AA697" i="23"/>
  <c r="AA645" i="23"/>
  <c r="AA611" i="23"/>
  <c r="AA680" i="23"/>
  <c r="AA628" i="23"/>
  <c r="AA605" i="23"/>
  <c r="AA598" i="23"/>
  <c r="AA615" i="23"/>
  <c r="G29" i="15" l="1"/>
  <c r="G26" i="15"/>
  <c r="G67" i="15"/>
  <c r="B86" i="15" s="1"/>
  <c r="W726" i="21"/>
  <c r="AA726" i="21" s="1"/>
  <c r="AA674" i="21"/>
  <c r="AA703" i="23"/>
  <c r="AA651" i="23"/>
  <c r="AA719" i="23"/>
  <c r="AA667" i="23"/>
  <c r="AA715" i="23"/>
  <c r="AA663" i="23"/>
  <c r="AA723" i="23"/>
  <c r="AA671" i="23"/>
  <c r="AA727" i="23"/>
  <c r="AA675" i="23"/>
  <c r="AA702" i="23"/>
  <c r="AA650" i="23"/>
  <c r="AA711" i="23"/>
  <c r="AA659" i="23"/>
  <c r="AA717" i="23"/>
  <c r="AA665" i="23"/>
  <c r="AA721" i="23"/>
  <c r="AA669" i="23"/>
  <c r="AA713" i="23"/>
  <c r="AA661" i="23"/>
  <c r="AA705" i="23"/>
  <c r="AA653" i="23"/>
  <c r="AA709" i="23"/>
  <c r="AA657" i="23"/>
  <c r="AA725" i="23"/>
  <c r="AA673" i="23"/>
  <c r="AA731" i="23"/>
  <c r="AA679" i="23"/>
  <c r="AA707" i="23"/>
  <c r="AA655" i="23"/>
  <c r="AA729" i="23"/>
  <c r="AA677" i="23"/>
  <c r="G45" i="15" l="1"/>
  <c r="G30" i="15"/>
  <c r="G31" i="15" s="1"/>
  <c r="G60" i="15"/>
  <c r="G54" i="15"/>
  <c r="G61" i="15" l="1"/>
  <c r="G55" i="15"/>
  <c r="G33" i="15"/>
  <c r="G51" i="15"/>
  <c r="G52" i="15" s="1"/>
  <c r="H65" i="15"/>
  <c r="G32" i="15"/>
  <c r="G65" i="15"/>
  <c r="G68" i="15" s="1"/>
  <c r="G37" i="15"/>
  <c r="G41" i="15" s="1"/>
  <c r="G42" i="15" s="1"/>
  <c r="G69" i="15"/>
  <c r="U30" i="15" l="1"/>
  <c r="AO59" i="15" s="1"/>
  <c r="U29" i="15"/>
  <c r="AO58" i="15" s="1"/>
  <c r="U25" i="15"/>
  <c r="AO54" i="15" s="1"/>
  <c r="U24" i="15"/>
  <c r="AO53" i="15" s="1"/>
  <c r="G62" i="15" s="1"/>
  <c r="U26" i="15"/>
  <c r="AO55" i="15" s="1"/>
  <c r="AK22" i="15"/>
  <c r="AL22" i="15" s="1"/>
  <c r="AP22" i="15" s="1"/>
  <c r="AK20" i="15"/>
  <c r="AL20" i="15" s="1"/>
  <c r="AP20" i="15" s="1"/>
  <c r="AJ15" i="15"/>
  <c r="AJ19" i="15"/>
  <c r="AK15" i="15"/>
  <c r="AL15" i="15" s="1"/>
  <c r="AP15" i="15" s="1"/>
  <c r="AK16" i="15"/>
  <c r="AL16" i="15" s="1"/>
  <c r="AP16" i="15" s="1"/>
  <c r="AJ22" i="15"/>
  <c r="AK19" i="15"/>
  <c r="AL19" i="15" s="1"/>
  <c r="AP19" i="15" s="1"/>
  <c r="AK23" i="15"/>
  <c r="AL23" i="15" s="1"/>
  <c r="AP23" i="15" s="1"/>
  <c r="AK18" i="15"/>
  <c r="AL18" i="15" s="1"/>
  <c r="AP18" i="15" s="1"/>
  <c r="AJ16" i="15"/>
  <c r="AJ18" i="15"/>
  <c r="AK21" i="15"/>
  <c r="AL21" i="15" s="1"/>
  <c r="AP21" i="15" s="1"/>
  <c r="AJ20" i="15"/>
  <c r="AJ23" i="15"/>
  <c r="AJ17" i="15"/>
  <c r="AJ21" i="15"/>
  <c r="AK17" i="15"/>
  <c r="AL17" i="15" s="1"/>
  <c r="AP17" i="15" s="1"/>
  <c r="U27" i="15"/>
  <c r="AO56" i="15" s="1"/>
  <c r="U28" i="15"/>
  <c r="AO57" i="15" s="1"/>
  <c r="H72" i="15"/>
  <c r="AG53" i="15" l="1"/>
  <c r="AI53" i="15"/>
  <c r="AG54" i="15"/>
  <c r="AI54" i="15"/>
  <c r="AG58" i="15"/>
  <c r="AI58" i="15"/>
  <c r="AG56" i="15"/>
  <c r="AI56" i="15"/>
  <c r="AG57" i="15"/>
  <c r="AI57" i="15"/>
  <c r="AG55" i="15"/>
  <c r="AI55" i="15"/>
  <c r="AG59" i="15"/>
  <c r="AI59" i="15"/>
  <c r="G72" i="15"/>
  <c r="H64" i="15" l="1"/>
  <c r="AD155" i="20"/>
  <c r="AC155" i="20" l="1"/>
  <c r="G38" i="15" l="1"/>
  <c r="G53" i="15"/>
  <c r="H73" i="15"/>
  <c r="G36" i="15"/>
  <c r="H66" i="15" s="1"/>
  <c r="G48" i="15"/>
  <c r="S6" i="15"/>
  <c r="S7" i="15" s="1"/>
  <c r="H74" i="15"/>
  <c r="H75" i="15" s="1"/>
  <c r="G56" i="15"/>
  <c r="G57" i="15"/>
  <c r="H39" i="15"/>
  <c r="G70" i="15" l="1"/>
  <c r="G66" i="15"/>
  <c r="G58" i="15"/>
  <c r="E155" i="15"/>
  <c r="U22" i="15"/>
  <c r="E149" i="15"/>
  <c r="U23" i="15"/>
  <c r="U18" i="15"/>
  <c r="E150" i="15"/>
  <c r="E154" i="15"/>
  <c r="F154" i="15" s="1"/>
  <c r="G74" i="15"/>
  <c r="G75" i="15" s="1"/>
  <c r="E151" i="15"/>
  <c r="U21" i="15"/>
  <c r="U17" i="15"/>
  <c r="U20" i="15"/>
  <c r="U16" i="15"/>
  <c r="E153" i="15"/>
  <c r="U15" i="15"/>
  <c r="U19" i="15"/>
  <c r="E148" i="15"/>
  <c r="E152" i="15"/>
  <c r="AI47" i="15" l="1"/>
  <c r="AO47" i="15"/>
  <c r="AI49" i="15"/>
  <c r="AO49" i="15"/>
  <c r="AI45" i="15"/>
  <c r="AO45" i="15"/>
  <c r="AI48" i="15"/>
  <c r="AO48" i="15"/>
  <c r="AI52" i="15"/>
  <c r="AO52" i="15"/>
  <c r="AI44" i="15"/>
  <c r="AO44" i="15"/>
  <c r="AI46" i="15"/>
  <c r="AO46" i="15"/>
  <c r="AI50" i="15"/>
  <c r="AO50" i="15"/>
  <c r="AI51" i="15"/>
  <c r="AO51" i="15"/>
  <c r="V20" i="15"/>
  <c r="AI20" i="15" s="1"/>
  <c r="AN20" i="15" s="1"/>
  <c r="AG49" i="15"/>
  <c r="AF23" i="15"/>
  <c r="AG52" i="15"/>
  <c r="AF15" i="15"/>
  <c r="AG44" i="15"/>
  <c r="AF17" i="15"/>
  <c r="AG46" i="15"/>
  <c r="AF16" i="15"/>
  <c r="AG45" i="15"/>
  <c r="AF18" i="15"/>
  <c r="AG47" i="15"/>
  <c r="AF19" i="15"/>
  <c r="AG48" i="15"/>
  <c r="AF21" i="15"/>
  <c r="AG50" i="15"/>
  <c r="AF22" i="15"/>
  <c r="AG51" i="15"/>
  <c r="F155" i="15"/>
  <c r="F148" i="15"/>
  <c r="F150" i="15"/>
  <c r="AG20" i="15"/>
  <c r="AM20" i="15" s="1"/>
  <c r="AG21" i="15"/>
  <c r="AM21" i="15" s="1"/>
  <c r="AG22" i="15"/>
  <c r="AM22" i="15" s="1"/>
  <c r="AF20" i="15"/>
  <c r="AG17" i="15"/>
  <c r="AM17" i="15" s="1"/>
  <c r="AG15" i="15"/>
  <c r="AM15" i="15" s="1"/>
  <c r="F149" i="15"/>
  <c r="V17" i="15"/>
  <c r="V18" i="15"/>
  <c r="F153" i="15"/>
  <c r="V19" i="15"/>
  <c r="F152" i="15"/>
  <c r="AG19" i="15"/>
  <c r="AM19" i="15" s="1"/>
  <c r="AG16" i="15"/>
  <c r="AM16" i="15" s="1"/>
  <c r="V16" i="15"/>
  <c r="F151" i="15"/>
  <c r="V23" i="15"/>
  <c r="V15" i="15"/>
  <c r="V21" i="15"/>
  <c r="AG18" i="15"/>
  <c r="AM18" i="15" s="1"/>
  <c r="AG23" i="15"/>
  <c r="AM23" i="15" s="1"/>
  <c r="V22" i="15"/>
  <c r="AH20" i="15" l="1"/>
  <c r="AQ20" i="15"/>
  <c r="AH16" i="15"/>
  <c r="AI16" i="15"/>
  <c r="AN16" i="15" s="1"/>
  <c r="AQ16" i="15" s="1"/>
  <c r="AI22" i="15"/>
  <c r="AN22" i="15" s="1"/>
  <c r="AQ22" i="15" s="1"/>
  <c r="AH22" i="15"/>
  <c r="AI21" i="15"/>
  <c r="AN21" i="15" s="1"/>
  <c r="AQ21" i="15" s="1"/>
  <c r="AH21" i="15"/>
  <c r="AH15" i="15"/>
  <c r="AI15" i="15"/>
  <c r="AN15" i="15" s="1"/>
  <c r="AQ15" i="15" s="1"/>
  <c r="AI19" i="15"/>
  <c r="AN19" i="15" s="1"/>
  <c r="AQ19" i="15" s="1"/>
  <c r="AH19" i="15"/>
  <c r="AH18" i="15"/>
  <c r="AI18" i="15"/>
  <c r="AN18" i="15" s="1"/>
  <c r="AQ18" i="15" s="1"/>
  <c r="AH17" i="15"/>
  <c r="AI17" i="15"/>
  <c r="AN17" i="15" s="1"/>
  <c r="AQ17" i="15" s="1"/>
  <c r="AH23" i="15"/>
  <c r="AI23" i="15"/>
  <c r="AN23" i="15" s="1"/>
  <c r="AQ23" i="15" s="1"/>
  <c r="AR19" i="15" l="1"/>
  <c r="AR18" i="15"/>
  <c r="AR17" i="15"/>
  <c r="AR15" i="15"/>
  <c r="AR21" i="15"/>
  <c r="AR20" i="15"/>
  <c r="AR16" i="15"/>
  <c r="AR22" i="15"/>
  <c r="AR24" i="15" l="1"/>
  <c r="AS25" i="15" s="1"/>
  <c r="AS26" i="15" s="1"/>
</calcChain>
</file>

<file path=xl/sharedStrings.xml><?xml version="1.0" encoding="utf-8"?>
<sst xmlns="http://schemas.openxmlformats.org/spreadsheetml/2006/main" count="744" uniqueCount="195">
  <si>
    <t>ID</t>
  </si>
  <si>
    <t>m</t>
  </si>
  <si>
    <t>Area</t>
  </si>
  <si>
    <t>m^2</t>
  </si>
  <si>
    <t>v_SL</t>
  </si>
  <si>
    <t>m/s</t>
  </si>
  <si>
    <t>q_L</t>
  </si>
  <si>
    <t>m^3/s</t>
  </si>
  <si>
    <t>gpm</t>
  </si>
  <si>
    <t>Rho_g</t>
  </si>
  <si>
    <t>P</t>
  </si>
  <si>
    <t>T</t>
  </si>
  <si>
    <t>R</t>
  </si>
  <si>
    <t>J/K/kmol</t>
  </si>
  <si>
    <t>Mw</t>
  </si>
  <si>
    <t>Mu_g</t>
  </si>
  <si>
    <t>Pa s</t>
  </si>
  <si>
    <t>v_SG</t>
  </si>
  <si>
    <t>q_SG</t>
  </si>
  <si>
    <t>ft^3</t>
  </si>
  <si>
    <t>ft^3/min</t>
  </si>
  <si>
    <t>Re_SL</t>
  </si>
  <si>
    <t>Rho_L</t>
  </si>
  <si>
    <t>Mu_L</t>
  </si>
  <si>
    <t>kg/m^3</t>
  </si>
  <si>
    <t>Re_SG</t>
  </si>
  <si>
    <t>Re_LS</t>
  </si>
  <si>
    <t>v_m</t>
  </si>
  <si>
    <t>[-]</t>
  </si>
  <si>
    <t>H_LLS</t>
  </si>
  <si>
    <t>Gomez et al 2000</t>
  </si>
  <si>
    <t>degree</t>
  </si>
  <si>
    <t>inclination angle</t>
  </si>
  <si>
    <t>rho_s</t>
  </si>
  <si>
    <t>mu_s</t>
  </si>
  <si>
    <t>C_0</t>
  </si>
  <si>
    <t>Use Re_LS and Fig3.39</t>
  </si>
  <si>
    <t>V_TB</t>
  </si>
  <si>
    <t>Bendiksen (1984)</t>
  </si>
  <si>
    <t>rad</t>
  </si>
  <si>
    <t>g</t>
  </si>
  <si>
    <t>m/s^2</t>
  </si>
  <si>
    <t>RHS 3.87</t>
  </si>
  <si>
    <t>x</t>
  </si>
  <si>
    <t>kg/s</t>
  </si>
  <si>
    <t>h_F @z=0</t>
  </si>
  <si>
    <t>Boundary condition</t>
  </si>
  <si>
    <t>v_F @z=0</t>
  </si>
  <si>
    <t>h_tilde</t>
  </si>
  <si>
    <t>f_h_c</t>
  </si>
  <si>
    <t>h_tilde_Crit</t>
  </si>
  <si>
    <t>h_Crit</t>
  </si>
  <si>
    <t>Check if h_S &gt; h_C</t>
  </si>
  <si>
    <t>BC accepted</t>
  </si>
  <si>
    <t>use 30 * D</t>
  </si>
  <si>
    <t>ft/s</t>
  </si>
  <si>
    <t>f_slug</t>
  </si>
  <si>
    <t>Hz</t>
  </si>
  <si>
    <t>L_U</t>
  </si>
  <si>
    <t>L_S</t>
  </si>
  <si>
    <t>L_F</t>
  </si>
  <si>
    <t>h_E</t>
  </si>
  <si>
    <t>N/A</t>
  </si>
  <si>
    <t>interfacial tension</t>
  </si>
  <si>
    <t>N/m</t>
  </si>
  <si>
    <t>v_GLS</t>
  </si>
  <si>
    <t>v_LLS</t>
  </si>
  <si>
    <t>x TTBN</t>
  </si>
  <si>
    <t>TTBN</t>
  </si>
  <si>
    <t>z</t>
  </si>
  <si>
    <t>hf</t>
  </si>
  <si>
    <t>h_F_TTBN@z=0</t>
  </si>
  <si>
    <t>h_tilde_F_TTBN@z=0</t>
  </si>
  <si>
    <t>[m]</t>
  </si>
  <si>
    <t>hf_tilde</t>
  </si>
  <si>
    <t>HLTB@v_LTB=0</t>
  </si>
  <si>
    <t>h_f@ vLTB=0</t>
  </si>
  <si>
    <t>v_ltb</t>
  </si>
  <si>
    <t>h tilde</t>
  </si>
  <si>
    <t>H_LTB</t>
  </si>
  <si>
    <t>Dukler &amp; Hubbard (1975)</t>
  </si>
  <si>
    <t>TTBN HLTB av</t>
  </si>
  <si>
    <t>LS_3.117</t>
  </si>
  <si>
    <t>HLTB</t>
  </si>
  <si>
    <t>v_LTB * H_LTB av</t>
  </si>
  <si>
    <t>Loop</t>
  </si>
  <si>
    <t>LS input</t>
  </si>
  <si>
    <t>LS 3.117</t>
  </si>
  <si>
    <t>pi nu</t>
  </si>
  <si>
    <t>X^2</t>
  </si>
  <si>
    <t>Y</t>
  </si>
  <si>
    <t>-dp/dl SG</t>
  </si>
  <si>
    <t>X</t>
  </si>
  <si>
    <t>PI_ht_L</t>
  </si>
  <si>
    <t>Pi_Nu_cor</t>
  </si>
  <si>
    <t>nu_hz</t>
  </si>
  <si>
    <t>hz</t>
  </si>
  <si>
    <t>3.111 int term</t>
  </si>
  <si>
    <t>3.111 1st () term</t>
  </si>
  <si>
    <t>W_L out</t>
  </si>
  <si>
    <t>W_L in</t>
  </si>
  <si>
    <t>L_S in</t>
  </si>
  <si>
    <t>3.111 1st comp</t>
  </si>
  <si>
    <t>3.111 2nd comp</t>
  </si>
  <si>
    <t>int v_ltb*HLTB dL</t>
  </si>
  <si>
    <t>3.112 (2nd)</t>
  </si>
  <si>
    <t>3.112 (1st)</t>
  </si>
  <si>
    <t>DH</t>
  </si>
  <si>
    <t>LF</t>
  </si>
  <si>
    <t>-x form</t>
  </si>
  <si>
    <t>Remake Slug</t>
  </si>
  <si>
    <t>LU =</t>
  </si>
  <si>
    <t>LS =</t>
  </si>
  <si>
    <t>LF =</t>
  </si>
  <si>
    <t>V_SL</t>
  </si>
  <si>
    <t>V_SG</t>
  </si>
  <si>
    <t>h\tilde_LLS</t>
  </si>
  <si>
    <t>K</t>
  </si>
  <si>
    <t xml:space="preserve">Pa </t>
  </si>
  <si>
    <t>V_LTB</t>
  </si>
  <si>
    <t>f_F</t>
  </si>
  <si>
    <t>df</t>
  </si>
  <si>
    <t>A_Ltilt</t>
  </si>
  <si>
    <t>Af_tilt</t>
  </si>
  <si>
    <t>Ag_tilt</t>
  </si>
  <si>
    <t>Sg_tilit</t>
  </si>
  <si>
    <t>d_g_tilt</t>
  </si>
  <si>
    <t>SI_tilt</t>
  </si>
  <si>
    <t>d_g</t>
  </si>
  <si>
    <t>f_G</t>
  </si>
  <si>
    <t>V_GTB</t>
  </si>
  <si>
    <t>Tu_f</t>
  </si>
  <si>
    <t>Tu_gas</t>
  </si>
  <si>
    <t>Integral term</t>
  </si>
  <si>
    <t>gravity term</t>
  </si>
  <si>
    <t>H_LSU</t>
  </si>
  <si>
    <t>Rho_u</t>
  </si>
  <si>
    <t>Mixture term</t>
  </si>
  <si>
    <t>f_s</t>
  </si>
  <si>
    <t>Tu_s</t>
  </si>
  <si>
    <t>The integral</t>
  </si>
  <si>
    <t>Total</t>
  </si>
  <si>
    <t>How did you come up with the correct Ls, Lf and Lu?</t>
  </si>
  <si>
    <t>Sf_tilit</t>
  </si>
  <si>
    <t>d_f_tilt</t>
  </si>
  <si>
    <t>d_f</t>
  </si>
  <si>
    <t>Re_f</t>
  </si>
  <si>
    <t>Re_g</t>
  </si>
  <si>
    <t>Re_s</t>
  </si>
  <si>
    <t>Pressure drop per unit length</t>
  </si>
  <si>
    <t>Pa</t>
  </si>
  <si>
    <t>Psi</t>
  </si>
  <si>
    <t>Calculated parameters</t>
  </si>
  <si>
    <t xml:space="preserve">L_s, L_f &amp; L_u calculation </t>
  </si>
  <si>
    <t>Input Data</t>
  </si>
  <si>
    <t>Modeling approach:</t>
  </si>
  <si>
    <t>Final pressure drop calculation:</t>
  </si>
  <si>
    <t xml:space="preserve"> </t>
  </si>
  <si>
    <t>W_L_input</t>
  </si>
  <si>
    <t>Ql</t>
  </si>
  <si>
    <t>Qg</t>
  </si>
  <si>
    <t>L_s</t>
  </si>
  <si>
    <t>t1</t>
  </si>
  <si>
    <t>HLTB1</t>
  </si>
  <si>
    <t>t2</t>
  </si>
  <si>
    <t>HLTB2</t>
  </si>
  <si>
    <t>t3</t>
  </si>
  <si>
    <t>HLTB3</t>
  </si>
  <si>
    <t>t4</t>
  </si>
  <si>
    <t>HLTB4</t>
  </si>
  <si>
    <t>t5</t>
  </si>
  <si>
    <t>HLTB5</t>
  </si>
  <si>
    <t>Vtb</t>
  </si>
  <si>
    <t>t</t>
  </si>
  <si>
    <t>HLLS</t>
  </si>
  <si>
    <t>HoldUp</t>
  </si>
  <si>
    <t>t6</t>
  </si>
  <si>
    <t>HLTB6</t>
  </si>
  <si>
    <t>t7</t>
  </si>
  <si>
    <t>HLTB7</t>
  </si>
  <si>
    <t>t8</t>
  </si>
  <si>
    <t>HLTB8</t>
  </si>
  <si>
    <t>t9</t>
  </si>
  <si>
    <t>HLTB9</t>
  </si>
  <si>
    <t>t10</t>
  </si>
  <si>
    <t>HLTB10</t>
  </si>
  <si>
    <t>t11</t>
  </si>
  <si>
    <t>HLTB11</t>
  </si>
  <si>
    <t>t12</t>
  </si>
  <si>
    <t>HLTB12</t>
  </si>
  <si>
    <t>t13</t>
  </si>
  <si>
    <t>HLTB13</t>
  </si>
  <si>
    <t>t14</t>
  </si>
  <si>
    <t>HLTB14</t>
  </si>
  <si>
    <t>t15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</si>
</sst>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NumberFormat="1"/>
    <xf numFmtId="0" fontId="0" fillId="2" borderId="0" xfId="0" applyFill="1"/>
    <xf numFmtId="0" fontId="1" fillId="0" borderId="0" xfId="1"/>
    <xf numFmtId="0" fontId="0" fillId="2" borderId="0" xfId="0" applyNumberFormat="1" applyFill="1"/>
    <xf numFmtId="0" fontId="0" fillId="3" borderId="0" xfId="0" applyFill="1"/>
    <xf numFmtId="0" fontId="2" fillId="0" borderId="0" xfId="0" applyFont="1"/>
    <xf numFmtId="0" fontId="0" fillId="0" borderId="0" xfId="0" applyFill="1"/>
    <xf numFmtId="0" fontId="0" fillId="0" borderId="0" xfId="0" quotePrefix="1" applyFill="1"/>
    <xf numFmtId="0" fontId="0" fillId="0" borderId="0" xfId="0" applyNumberFormat="1" applyFill="1"/>
    <xf numFmtId="0" fontId="0" fillId="0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0" xfId="0" applyFill="1" applyBorder="1" applyAlignment="1">
      <alignment horizontal="center"/>
    </xf>
    <xf numFmtId="0" fontId="0" fillId="5" borderId="0" xfId="0" applyFill="1" applyBorder="1" applyAlignment="1">
      <alignment wrapText="1"/>
    </xf>
    <xf numFmtId="0" fontId="0" fillId="5" borderId="0" xfId="0" applyNumberFormat="1" applyFill="1" applyBorder="1"/>
    <xf numFmtId="0" fontId="1" fillId="5" borderId="4" xfId="1" applyFill="1" applyBorder="1"/>
    <xf numFmtId="0" fontId="1" fillId="5" borderId="6" xfId="1" applyFill="1" applyBorder="1"/>
    <xf numFmtId="0" fontId="0" fillId="2" borderId="11" xfId="0" applyNumberFormat="1" applyFill="1" applyBorder="1"/>
    <xf numFmtId="0" fontId="0" fillId="5" borderId="2" xfId="0" quotePrefix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3" fillId="0" borderId="0" xfId="0" applyFont="1"/>
    <xf numFmtId="0" fontId="3" fillId="0" borderId="0" xfId="0" applyFont="1" applyFill="1" applyAlignment="1">
      <alignment horizontal="center"/>
    </xf>
    <xf numFmtId="0" fontId="0" fillId="0" borderId="0" xfId="0" quotePrefix="1" applyFill="1" applyBorder="1"/>
    <xf numFmtId="0" fontId="4" fillId="4" borderId="19" xfId="0" applyFont="1" applyFill="1" applyBorder="1"/>
    <xf numFmtId="0" fontId="4" fillId="4" borderId="0" xfId="0" applyFont="1" applyFill="1" applyBorder="1"/>
    <xf numFmtId="0" fontId="0" fillId="4" borderId="20" xfId="0" applyFill="1" applyBorder="1"/>
    <xf numFmtId="0" fontId="0" fillId="4" borderId="21" xfId="0" applyFill="1" applyBorder="1"/>
    <xf numFmtId="0" fontId="5" fillId="6" borderId="14" xfId="0" applyFont="1" applyFill="1" applyBorder="1"/>
    <xf numFmtId="0" fontId="5" fillId="6" borderId="0" xfId="0" applyFont="1" applyFill="1" applyBorder="1"/>
    <xf numFmtId="0" fontId="5" fillId="6" borderId="12" xfId="0" applyNumberFormat="1" applyFont="1" applyFill="1" applyBorder="1"/>
    <xf numFmtId="0" fontId="5" fillId="6" borderId="13" xfId="0" applyNumberFormat="1" applyFont="1" applyFill="1" applyBorder="1"/>
    <xf numFmtId="0" fontId="5" fillId="6" borderId="0" xfId="0" applyNumberFormat="1" applyFont="1" applyFill="1" applyBorder="1"/>
    <xf numFmtId="0" fontId="5" fillId="6" borderId="15" xfId="0" applyFont="1" applyFill="1" applyBorder="1"/>
    <xf numFmtId="0" fontId="5" fillId="6" borderId="16" xfId="0" applyFont="1" applyFill="1" applyBorder="1"/>
    <xf numFmtId="0" fontId="5" fillId="6" borderId="17" xfId="0" applyFont="1" applyFill="1" applyBorder="1"/>
    <xf numFmtId="0" fontId="5" fillId="6" borderId="17" xfId="0" applyNumberFormat="1" applyFont="1" applyFill="1" applyBorder="1"/>
    <xf numFmtId="0" fontId="5" fillId="6" borderId="18" xfId="0" applyFont="1" applyFill="1" applyBorder="1"/>
    <xf numFmtId="0" fontId="3" fillId="2" borderId="22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0" fontId="0" fillId="0" borderId="25" xfId="0" applyBorder="1"/>
    <xf numFmtId="0" fontId="0" fillId="0" borderId="0" xfId="0" applyBorder="1"/>
    <xf numFmtId="0" fontId="0" fillId="5" borderId="26" xfId="0" applyFill="1" applyBorder="1"/>
    <xf numFmtId="0" fontId="0" fillId="0" borderId="27" xfId="0" applyBorder="1"/>
    <xf numFmtId="0" fontId="0" fillId="0" borderId="28" xfId="0" applyBorder="1"/>
    <xf numFmtId="0" fontId="0" fillId="5" borderId="28" xfId="0" applyFill="1" applyBorder="1"/>
    <xf numFmtId="0" fontId="0" fillId="5" borderId="29" xfId="0" applyFill="1" applyBorder="1"/>
    <xf numFmtId="0" fontId="6" fillId="0" borderId="0" xfId="0" applyNumberFormat="1" applyFont="1" applyFill="1" applyBorder="1"/>
    <xf numFmtId="0" fontId="7" fillId="0" borderId="0" xfId="0" applyFont="1" applyFill="1" applyBorder="1" applyAlignment="1">
      <alignment horizontal="right"/>
    </xf>
    <xf numFmtId="0" fontId="6" fillId="0" borderId="0" xfId="0" applyFont="1" applyFill="1" applyBorder="1"/>
    <xf numFmtId="11" fontId="6" fillId="0" borderId="0" xfId="0" applyNumberFormat="1" applyFont="1" applyFill="1" applyBorder="1"/>
    <xf numFmtId="0" fontId="2" fillId="0" borderId="0" xfId="0" applyFont="1" applyFill="1"/>
    <xf numFmtId="0" fontId="2" fillId="7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 10 5 deg'!$B$147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10 5 deg'!$A$148:$A$155</c:f>
              <c:numCache>
                <c:formatCode>General</c:formatCode>
                <c:ptCount val="8"/>
                <c:pt idx="0">
                  <c:v>0</c:v>
                </c:pt>
                <c:pt idx="1">
                  <c:v>1E-3</c:v>
                </c:pt>
                <c:pt idx="2">
                  <c:v>3.4797780227392702E-2</c:v>
                </c:pt>
                <c:pt idx="3">
                  <c:v>7.5674741394399891E-2</c:v>
                </c:pt>
                <c:pt idx="4">
                  <c:v>0.17603402264223961</c:v>
                </c:pt>
                <c:pt idx="5">
                  <c:v>0.2929321975908204</c:v>
                </c:pt>
                <c:pt idx="6">
                  <c:v>0.61909966883762779</c:v>
                </c:pt>
                <c:pt idx="7">
                  <c:v>0.92638985532428642</c:v>
                </c:pt>
              </c:numCache>
            </c:numRef>
          </c:xVal>
          <c:yVal>
            <c:numRef>
              <c:f>'2 10 5 deg'!$B$148:$B$155</c:f>
              <c:numCache>
                <c:formatCode>General</c:formatCode>
                <c:ptCount val="8"/>
                <c:pt idx="0">
                  <c:v>1.17317625575275E-2</c:v>
                </c:pt>
                <c:pt idx="1">
                  <c:v>1.1685680491097384E-2</c:v>
                </c:pt>
                <c:pt idx="2">
                  <c:v>1.0554326998690359E-2</c:v>
                </c:pt>
                <c:pt idx="3">
                  <c:v>9.7420054468199142E-3</c:v>
                </c:pt>
                <c:pt idx="4">
                  <c:v>8.6319163792677595E-3</c:v>
                </c:pt>
                <c:pt idx="5">
                  <c:v>7.9145803112521378E-3</c:v>
                </c:pt>
                <c:pt idx="6">
                  <c:v>6.8972715444659809E-3</c:v>
                </c:pt>
                <c:pt idx="7">
                  <c:v>6.3861536991637454E-3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F-47C6-BD81-92977017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575520"/>
        <c:axId val="713569360"/>
      </c:scatterChart>
      <c:valAx>
        <c:axId val="7135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569360"/>
        <c:crosses val="autoZero"/>
        <c:crossBetween val="midCat"/>
      </c:valAx>
      <c:valAx>
        <c:axId val="71356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5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10 5 deg'!$Q$15:$Q$30</c:f>
              <c:numCache>
                <c:formatCode>General</c:formatCode>
                <c:ptCount val="16"/>
                <c:pt idx="0">
                  <c:v>0</c:v>
                </c:pt>
                <c:pt idx="1">
                  <c:v>9.9999999999999995E-7</c:v>
                </c:pt>
                <c:pt idx="2">
                  <c:v>5.3767832639864909E-4</c:v>
                </c:pt>
                <c:pt idx="3">
                  <c:v>1.074356652798078E-3</c:v>
                </c:pt>
                <c:pt idx="4">
                  <c:v>1.938664676831727E-3</c:v>
                </c:pt>
                <c:pt idx="5">
                  <c:v>3.1701245352735836E-3</c:v>
                </c:pt>
                <c:pt idx="6">
                  <c:v>5.0227807048780441E-3</c:v>
                </c:pt>
                <c:pt idx="7">
                  <c:v>7.2617299040995068E-3</c:v>
                </c:pt>
                <c:pt idx="8">
                  <c:v>1.1622518976275933E-2</c:v>
                </c:pt>
                <c:pt idx="9">
                  <c:v>1.7911465157442092E-2</c:v>
                </c:pt>
                <c:pt idx="10">
                  <c:v>2.8449225311890911E-2</c:v>
                </c:pt>
                <c:pt idx="11">
                  <c:v>4.5405138051288485E-2</c:v>
                </c:pt>
                <c:pt idx="12">
                  <c:v>7.4306236690819677E-2</c:v>
                </c:pt>
                <c:pt idx="13">
                  <c:v>0.12355466180157912</c:v>
                </c:pt>
                <c:pt idx="14">
                  <c:v>0.21076349051348162</c:v>
                </c:pt>
                <c:pt idx="15">
                  <c:v>0.36580680625731399</c:v>
                </c:pt>
              </c:numCache>
            </c:numRef>
          </c:xVal>
          <c:yVal>
            <c:numRef>
              <c:f>'2 10 5 deg'!$S$15:$S$30</c:f>
              <c:numCache>
                <c:formatCode>General</c:formatCode>
                <c:ptCount val="16"/>
                <c:pt idx="0">
                  <c:v>0.79649116727704994</c:v>
                </c:pt>
                <c:pt idx="1">
                  <c:v>0.79646750071334693</c:v>
                </c:pt>
                <c:pt idx="2">
                  <c:v>0.78555675953482174</c:v>
                </c:pt>
                <c:pt idx="3">
                  <c:v>0.77703133053393414</c:v>
                </c:pt>
                <c:pt idx="4">
                  <c:v>0.76611427827889567</c:v>
                </c:pt>
                <c:pt idx="5">
                  <c:v>0.75401633892384634</c:v>
                </c:pt>
                <c:pt idx="6">
                  <c:v>0.74004811884414745</c:v>
                </c:pt>
                <c:pt idx="7">
                  <c:v>0.72697865668600103</c:v>
                </c:pt>
                <c:pt idx="8">
                  <c:v>0.70788393497970525</c:v>
                </c:pt>
                <c:pt idx="9">
                  <c:v>0.68798992865347797</c:v>
                </c:pt>
                <c:pt idx="10">
                  <c:v>0.66434631491532881</c:v>
                </c:pt>
                <c:pt idx="11">
                  <c:v>0.63815236451285284</c:v>
                </c:pt>
                <c:pt idx="12">
                  <c:v>0.60831978562112154</c:v>
                </c:pt>
                <c:pt idx="13">
                  <c:v>0.57551128496566417</c:v>
                </c:pt>
                <c:pt idx="14">
                  <c:v>0.53941704917927769</c:v>
                </c:pt>
                <c:pt idx="15">
                  <c:v>0.50113799330770004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D-4BCB-B9C5-7449DD06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664792"/>
        <c:axId val="376666104"/>
      </c:scatterChart>
      <c:valAx>
        <c:axId val="376664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6104"/>
        <c:crosses val="autoZero"/>
        <c:crossBetween val="midCat"/>
      </c:valAx>
      <c:valAx>
        <c:axId val="37666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4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 10 5 deg'!$T$61</c:f>
              <c:strCache>
                <c:ptCount val="1"/>
                <c:pt idx="0">
                  <c:v>HoldUp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10 5 deg'!$S$62:$S$146</c:f>
              <c:numCache>
                <c:formatCode>General</c:formatCode>
                <c:ptCount val="85"/>
                <c:pt idx="0">
                  <c:v>0</c:v>
                </c:pt>
                <c:pt idx="1">
                  <c:v>8.5037588588978669E-2</c:v>
                </c:pt>
                <c:pt idx="2">
                  <c:v>8.5037867609695339E-2</c:v>
                </c:pt>
                <c:pt idx="3">
                  <c:v>8.5321025865219668E-2</c:v>
                </c:pt>
                <c:pt idx="4">
                  <c:v>8.6467006959722634E-2</c:v>
                </c:pt>
                <c:pt idx="5">
                  <c:v>8.7660989819375618E-2</c:v>
                </c:pt>
                <c:pt idx="6">
                  <c:v>9.0442086873464986E-2</c:v>
                </c:pt>
                <c:pt idx="7">
                  <c:v>9.3993718681370186E-2</c:v>
                </c:pt>
                <c:pt idx="8">
                  <c:v>0.102564116942612</c:v>
                </c:pt>
                <c:pt idx="9">
                  <c:v>0.11330820484573659</c:v>
                </c:pt>
                <c:pt idx="10">
                  <c:v>0.14353074490281753</c:v>
                </c:pt>
                <c:pt idx="11">
                  <c:v>0.17997044490187675</c:v>
                </c:pt>
                <c:pt idx="12">
                  <c:v>0.29556658767753463</c:v>
                </c:pt>
                <c:pt idx="13">
                  <c:v>1.0996991315899196</c:v>
                </c:pt>
                <c:pt idx="14">
                  <c:v>1.834918422178123</c:v>
                </c:pt>
                <c:pt idx="15">
                  <c:v>1.9754176913523906</c:v>
                </c:pt>
                <c:pt idx="16">
                  <c:v>1.9754176913523906</c:v>
                </c:pt>
                <c:pt idx="17">
                  <c:v>2.06019311999657</c:v>
                </c:pt>
                <c:pt idx="18">
                  <c:v>2.06019311999657</c:v>
                </c:pt>
                <c:pt idx="19">
                  <c:v>2.0601933857554293</c:v>
                </c:pt>
                <c:pt idx="20">
                  <c:v>2.0603719316045974</c:v>
                </c:pt>
                <c:pt idx="21">
                  <c:v>2.061436696428435</c:v>
                </c:pt>
                <c:pt idx="22">
                  <c:v>2.0626299250732325</c:v>
                </c:pt>
                <c:pt idx="23">
                  <c:v>2.0652720152584427</c:v>
                </c:pt>
                <c:pt idx="24">
                  <c:v>2.068767943125366</c:v>
                </c:pt>
                <c:pt idx="25">
                  <c:v>2.0769296071219876</c:v>
                </c:pt>
                <c:pt idx="26">
                  <c:v>2.0874695018734135</c:v>
                </c:pt>
                <c:pt idx="27">
                  <c:v>2.1172798989432957</c:v>
                </c:pt>
                <c:pt idx="28">
                  <c:v>2.15225342302683</c:v>
                </c:pt>
                <c:pt idx="29">
                  <c:v>2.2673279694285875</c:v>
                </c:pt>
                <c:pt idx="30">
                  <c:v>2.4168638036402754</c:v>
                </c:pt>
                <c:pt idx="31">
                  <c:v>3.0596733475259708</c:v>
                </c:pt>
                <c:pt idx="32">
                  <c:v>3.8153835419104318</c:v>
                </c:pt>
                <c:pt idx="33">
                  <c:v>3.9096972620932018</c:v>
                </c:pt>
                <c:pt idx="34">
                  <c:v>3.9096972620932018</c:v>
                </c:pt>
                <c:pt idx="35">
                  <c:v>4.0163542197521354</c:v>
                </c:pt>
                <c:pt idx="36">
                  <c:v>4.0163545134278174</c:v>
                </c:pt>
                <c:pt idx="37">
                  <c:v>4.0166536620373821</c:v>
                </c:pt>
                <c:pt idx="38">
                  <c:v>4.0177349624310574</c:v>
                </c:pt>
                <c:pt idx="39">
                  <c:v>4.0188752455213699</c:v>
                </c:pt>
                <c:pt idx="40">
                  <c:v>4.0214228636294118</c:v>
                </c:pt>
                <c:pt idx="41">
                  <c:v>4.0247987406818657</c:v>
                </c:pt>
                <c:pt idx="42">
                  <c:v>4.032331298228562</c:v>
                </c:pt>
                <c:pt idx="43">
                  <c:v>4.0425981850860548</c:v>
                </c:pt>
                <c:pt idx="44">
                  <c:v>4.0709727383352448</c:v>
                </c:pt>
                <c:pt idx="45">
                  <c:v>4.1037621609734964</c:v>
                </c:pt>
                <c:pt idx="46">
                  <c:v>4.209913106433512</c:v>
                </c:pt>
                <c:pt idx="47">
                  <c:v>4.3484403378982286</c:v>
                </c:pt>
                <c:pt idx="48">
                  <c:v>4.9286114078357741</c:v>
                </c:pt>
                <c:pt idx="49">
                  <c:v>5.6737491153748367</c:v>
                </c:pt>
                <c:pt idx="50">
                  <c:v>5.6849712392754981</c:v>
                </c:pt>
                <c:pt idx="51">
                  <c:v>5.6849712392754999</c:v>
                </c:pt>
                <c:pt idx="52">
                  <c:v>5.7772880031649221</c:v>
                </c:pt>
                <c:pt idx="53">
                  <c:v>5.7772882762031061</c:v>
                </c:pt>
                <c:pt idx="54">
                  <c:v>5.7774767360453696</c:v>
                </c:pt>
                <c:pt idx="55">
                  <c:v>5.77853277816632</c:v>
                </c:pt>
                <c:pt idx="56">
                  <c:v>5.7796899651562059</c:v>
                </c:pt>
                <c:pt idx="57">
                  <c:v>5.7822632590503051</c:v>
                </c:pt>
                <c:pt idx="58">
                  <c:v>5.785663428583816</c:v>
                </c:pt>
                <c:pt idx="59">
                  <c:v>5.7934877412369818</c:v>
                </c:pt>
                <c:pt idx="60">
                  <c:v>5.8037607261742217</c:v>
                </c:pt>
                <c:pt idx="61">
                  <c:v>5.8332576347133784</c:v>
                </c:pt>
                <c:pt idx="62">
                  <c:v>5.8665069868527331</c:v>
                </c:pt>
                <c:pt idx="63">
                  <c:v>5.9793947811306714</c:v>
                </c:pt>
                <c:pt idx="64">
                  <c:v>6.1214629891967887</c:v>
                </c:pt>
                <c:pt idx="65">
                  <c:v>6.7212891301342781</c:v>
                </c:pt>
                <c:pt idx="66">
                  <c:v>7.4996359033670785</c:v>
                </c:pt>
                <c:pt idx="67">
                  <c:v>7.5290049144248989</c:v>
                </c:pt>
                <c:pt idx="68">
                  <c:v>7.5290049144248998</c:v>
                </c:pt>
                <c:pt idx="69">
                  <c:v>7.6099414574064213</c:v>
                </c:pt>
                <c:pt idx="70">
                  <c:v>7.6099417228857584</c:v>
                </c:pt>
                <c:pt idx="71">
                  <c:v>7.6101399815228792</c:v>
                </c:pt>
                <c:pt idx="72">
                  <c:v>7.6112275340739162</c:v>
                </c:pt>
                <c:pt idx="73">
                  <c:v>7.6124372645826437</c:v>
                </c:pt>
                <c:pt idx="74">
                  <c:v>7.6151444932782431</c:v>
                </c:pt>
                <c:pt idx="75">
                  <c:v>7.6186958704372829</c:v>
                </c:pt>
                <c:pt idx="76">
                  <c:v>7.6271210673031318</c:v>
                </c:pt>
                <c:pt idx="77">
                  <c:v>7.6378212594044124</c:v>
                </c:pt>
                <c:pt idx="78">
                  <c:v>7.6677626192954005</c:v>
                </c:pt>
                <c:pt idx="79">
                  <c:v>7.7039625503772422</c:v>
                </c:pt>
                <c:pt idx="80">
                  <c:v>7.8194851870359301</c:v>
                </c:pt>
                <c:pt idx="81">
                  <c:v>7.9742940658342487</c:v>
                </c:pt>
                <c:pt idx="82">
                  <c:v>8.6419268572413515</c:v>
                </c:pt>
                <c:pt idx="83">
                  <c:v>9.3805599688447199</c:v>
                </c:pt>
                <c:pt idx="84">
                  <c:v>9.5172509199420343</c:v>
                </c:pt>
              </c:numCache>
            </c:numRef>
          </c:xVal>
          <c:yVal>
            <c:numRef>
              <c:f>'2 10 5 deg'!$T$62:$T$146</c:f>
              <c:numCache>
                <c:formatCode>General</c:formatCode>
                <c:ptCount val="85"/>
                <c:pt idx="0">
                  <c:v>0.78847347066568618</c:v>
                </c:pt>
                <c:pt idx="1">
                  <c:v>0.78847347062723705</c:v>
                </c:pt>
                <c:pt idx="2">
                  <c:v>0.78845963239781625</c:v>
                </c:pt>
                <c:pt idx="3">
                  <c:v>0.77544487057340095</c:v>
                </c:pt>
                <c:pt idx="4">
                  <c:v>0.73638986030188502</c:v>
                </c:pt>
                <c:pt idx="5">
                  <c:v>0.70805452318698636</c:v>
                </c:pt>
                <c:pt idx="6">
                  <c:v>0.66341067450874014</c:v>
                </c:pt>
                <c:pt idx="7">
                  <c:v>0.62617730068309141</c:v>
                </c:pt>
                <c:pt idx="8">
                  <c:v>0.57147156624741824</c:v>
                </c:pt>
                <c:pt idx="9">
                  <c:v>0.53063447359429361</c:v>
                </c:pt>
                <c:pt idx="10">
                  <c:v>0.46882648709561475</c:v>
                </c:pt>
                <c:pt idx="11">
                  <c:v>0.42940782296160174</c:v>
                </c:pt>
                <c:pt idx="12">
                  <c:v>0.37048188205778487</c:v>
                </c:pt>
                <c:pt idx="13">
                  <c:v>0.28122357928494018</c:v>
                </c:pt>
                <c:pt idx="14">
                  <c:v>0.25817296920221211</c:v>
                </c:pt>
                <c:pt idx="15">
                  <c:v>0.25524016739638927</c:v>
                </c:pt>
                <c:pt idx="16">
                  <c:v>0.7794832177885358</c:v>
                </c:pt>
                <c:pt idx="17">
                  <c:v>0.7794832177885358</c:v>
                </c:pt>
                <c:pt idx="18">
                  <c:v>0.77948321771723128</c:v>
                </c:pt>
                <c:pt idx="19">
                  <c:v>0.7794702305572242</c:v>
                </c:pt>
                <c:pt idx="20">
                  <c:v>0.77114983710057794</c:v>
                </c:pt>
                <c:pt idx="21">
                  <c:v>0.73303638567981411</c:v>
                </c:pt>
                <c:pt idx="22">
                  <c:v>0.70328694863125485</c:v>
                </c:pt>
                <c:pt idx="23">
                  <c:v>0.65885623360738332</c:v>
                </c:pt>
                <c:pt idx="24">
                  <c:v>0.62056041788123739</c:v>
                </c:pt>
                <c:pt idx="25">
                  <c:v>0.56620933274045793</c:v>
                </c:pt>
                <c:pt idx="26">
                  <c:v>0.52453690573413347</c:v>
                </c:pt>
                <c:pt idx="27">
                  <c:v>0.46188500660829435</c:v>
                </c:pt>
                <c:pt idx="28">
                  <c:v>0.42313984219156819</c:v>
                </c:pt>
                <c:pt idx="29">
                  <c:v>0.36361129347140247</c:v>
                </c:pt>
                <c:pt idx="30">
                  <c:v>0.32872176247022356</c:v>
                </c:pt>
                <c:pt idx="31">
                  <c:v>0.27561054466388146</c:v>
                </c:pt>
                <c:pt idx="32">
                  <c:v>0.25227343629889099</c:v>
                </c:pt>
                <c:pt idx="33">
                  <c:v>0.25032701134351099</c:v>
                </c:pt>
                <c:pt idx="34">
                  <c:v>0.797567413583816</c:v>
                </c:pt>
                <c:pt idx="35">
                  <c:v>0.79756741356752814</c:v>
                </c:pt>
                <c:pt idx="36">
                  <c:v>0.79755261411594436</c:v>
                </c:pt>
                <c:pt idx="37">
                  <c:v>0.78368039137736012</c:v>
                </c:pt>
                <c:pt idx="38">
                  <c:v>0.74649667195619396</c:v>
                </c:pt>
                <c:pt idx="39">
                  <c:v>0.71897059106499273</c:v>
                </c:pt>
                <c:pt idx="40">
                  <c:v>0.67680777430385075</c:v>
                </c:pt>
                <c:pt idx="41">
                  <c:v>0.63991649862067512</c:v>
                </c:pt>
                <c:pt idx="42">
                  <c:v>0.5886702357178728</c:v>
                </c:pt>
                <c:pt idx="43">
                  <c:v>0.54652015702573919</c:v>
                </c:pt>
                <c:pt idx="44">
                  <c:v>0.48393966524174775</c:v>
                </c:pt>
                <c:pt idx="45">
                  <c:v>0.44511636045329117</c:v>
                </c:pt>
                <c:pt idx="46">
                  <c:v>0.38481957880750806</c:v>
                </c:pt>
                <c:pt idx="47">
                  <c:v>0.34852041102115622</c:v>
                </c:pt>
                <c:pt idx="48">
                  <c:v>0.29297564792078729</c:v>
                </c:pt>
                <c:pt idx="49">
                  <c:v>0.26645791569044841</c:v>
                </c:pt>
                <c:pt idx="50">
                  <c:v>0.2661866277236678</c:v>
                </c:pt>
                <c:pt idx="51">
                  <c:v>0.7845133194037015</c:v>
                </c:pt>
                <c:pt idx="52">
                  <c:v>0.78451331935737079</c:v>
                </c:pt>
                <c:pt idx="53">
                  <c:v>0.7844998671226836</c:v>
                </c:pt>
                <c:pt idx="54">
                  <c:v>0.77567639969949809</c:v>
                </c:pt>
                <c:pt idx="55">
                  <c:v>0.73784397122994583</c:v>
                </c:pt>
                <c:pt idx="56">
                  <c:v>0.70888262799450408</c:v>
                </c:pt>
                <c:pt idx="57">
                  <c:v>0.66518643296506319</c:v>
                </c:pt>
                <c:pt idx="58">
                  <c:v>0.62738570160135554</c:v>
                </c:pt>
                <c:pt idx="59">
                  <c:v>0.57404601029928004</c:v>
                </c:pt>
                <c:pt idx="60">
                  <c:v>0.53220974625728135</c:v>
                </c:pt>
                <c:pt idx="61">
                  <c:v>0.46853394579132407</c:v>
                </c:pt>
                <c:pt idx="62">
                  <c:v>0.43046379356162107</c:v>
                </c:pt>
                <c:pt idx="63">
                  <c:v>0.36976688142120989</c:v>
                </c:pt>
                <c:pt idx="64">
                  <c:v>0.33503916754175711</c:v>
                </c:pt>
                <c:pt idx="65">
                  <c:v>0.28165691797640796</c:v>
                </c:pt>
                <c:pt idx="66">
                  <c:v>0.25614814458267282</c:v>
                </c:pt>
                <c:pt idx="67">
                  <c:v>0.25550405808427779</c:v>
                </c:pt>
                <c:pt idx="68">
                  <c:v>0.77928522852746285</c:v>
                </c:pt>
                <c:pt idx="69">
                  <c:v>0.77928522852746285</c:v>
                </c:pt>
                <c:pt idx="70">
                  <c:v>0.77927225905183595</c:v>
                </c:pt>
                <c:pt idx="71">
                  <c:v>0.77008179170729685</c:v>
                </c:pt>
                <c:pt idx="72">
                  <c:v>0.73160809134534388</c:v>
                </c:pt>
                <c:pt idx="73">
                  <c:v>0.70184208260966718</c:v>
                </c:pt>
                <c:pt idx="74">
                  <c:v>0.65700578442576063</c:v>
                </c:pt>
                <c:pt idx="75">
                  <c:v>0.61875689103544662</c:v>
                </c:pt>
                <c:pt idx="76">
                  <c:v>0.56380671157002493</c:v>
                </c:pt>
                <c:pt idx="77">
                  <c:v>0.5224599361753115</c:v>
                </c:pt>
                <c:pt idx="78">
                  <c:v>0.46062192657416479</c:v>
                </c:pt>
                <c:pt idx="79">
                  <c:v>0.42129217670186686</c:v>
                </c:pt>
                <c:pt idx="80">
                  <c:v>0.36263279468424359</c:v>
                </c:pt>
                <c:pt idx="81">
                  <c:v>0.32727639655650531</c:v>
                </c:pt>
                <c:pt idx="82">
                  <c:v>0.27409745812925007</c:v>
                </c:pt>
                <c:pt idx="83">
                  <c:v>0.25185894503202017</c:v>
                </c:pt>
                <c:pt idx="84">
                  <c:v>0.24911020956257832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7C-48DC-BBB5-730B1501E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88064"/>
        <c:axId val="461790360"/>
      </c:scatterChart>
      <c:valAx>
        <c:axId val="46178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90360"/>
        <c:crosses val="autoZero"/>
        <c:crossBetween val="midCat"/>
      </c:valAx>
      <c:valAx>
        <c:axId val="46179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8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54054357996747"/>
          <c:y val="5.4236293379994166E-2"/>
          <c:w val="0.81646091074156202"/>
          <c:h val="0.818772965879265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V_SG_3_V_SL_1!$Y$7:$Y$47</c:f>
              <c:numCache>
                <c:formatCode>General</c:formatCode>
                <c:ptCount val="41"/>
                <c:pt idx="0">
                  <c:v>0.17</c:v>
                </c:pt>
                <c:pt idx="1">
                  <c:v>0.16900000000000001</c:v>
                </c:pt>
                <c:pt idx="2">
                  <c:v>0.16800000000000001</c:v>
                </c:pt>
                <c:pt idx="3">
                  <c:v>0.16700000000000001</c:v>
                </c:pt>
                <c:pt idx="4">
                  <c:v>0.16600000000000001</c:v>
                </c:pt>
                <c:pt idx="5">
                  <c:v>0.16500000000000001</c:v>
                </c:pt>
                <c:pt idx="6">
                  <c:v>0.16400000000000001</c:v>
                </c:pt>
                <c:pt idx="7">
                  <c:v>0.16300000000000001</c:v>
                </c:pt>
                <c:pt idx="8">
                  <c:v>0.16200000000000001</c:v>
                </c:pt>
                <c:pt idx="9">
                  <c:v>0.161</c:v>
                </c:pt>
                <c:pt idx="10">
                  <c:v>0.16</c:v>
                </c:pt>
                <c:pt idx="11">
                  <c:v>0.159</c:v>
                </c:pt>
                <c:pt idx="12">
                  <c:v>0.158</c:v>
                </c:pt>
                <c:pt idx="13">
                  <c:v>0.157</c:v>
                </c:pt>
                <c:pt idx="14">
                  <c:v>0.156</c:v>
                </c:pt>
                <c:pt idx="15">
                  <c:v>0.155</c:v>
                </c:pt>
                <c:pt idx="16">
                  <c:v>0.154</c:v>
                </c:pt>
                <c:pt idx="17">
                  <c:v>0.153</c:v>
                </c:pt>
                <c:pt idx="18">
                  <c:v>0.152</c:v>
                </c:pt>
                <c:pt idx="19">
                  <c:v>0.151</c:v>
                </c:pt>
                <c:pt idx="20">
                  <c:v>0.15</c:v>
                </c:pt>
                <c:pt idx="21">
                  <c:v>0.14899999999999999</c:v>
                </c:pt>
                <c:pt idx="22">
                  <c:v>0.14799999999999999</c:v>
                </c:pt>
                <c:pt idx="23">
                  <c:v>0.14699999999999999</c:v>
                </c:pt>
                <c:pt idx="24">
                  <c:v>0.14599999999999999</c:v>
                </c:pt>
                <c:pt idx="25">
                  <c:v>0.14499999999999999</c:v>
                </c:pt>
                <c:pt idx="26">
                  <c:v>0.14399999999999999</c:v>
                </c:pt>
                <c:pt idx="27">
                  <c:v>0.14299999999999999</c:v>
                </c:pt>
                <c:pt idx="28">
                  <c:v>0.14199999999999999</c:v>
                </c:pt>
                <c:pt idx="29">
                  <c:v>0.14099999999999999</c:v>
                </c:pt>
                <c:pt idx="30">
                  <c:v>0.13999999999999999</c:v>
                </c:pt>
                <c:pt idx="31">
                  <c:v>0.13899999999999998</c:v>
                </c:pt>
                <c:pt idx="32">
                  <c:v>0.13799999999999998</c:v>
                </c:pt>
                <c:pt idx="33">
                  <c:v>0.13699999999999998</c:v>
                </c:pt>
                <c:pt idx="34">
                  <c:v>0.13599999999999998</c:v>
                </c:pt>
                <c:pt idx="35">
                  <c:v>0.13499999999999998</c:v>
                </c:pt>
                <c:pt idx="36">
                  <c:v>0.13399999999999998</c:v>
                </c:pt>
                <c:pt idx="37">
                  <c:v>0.13299999999999998</c:v>
                </c:pt>
                <c:pt idx="38">
                  <c:v>0.13199999999999998</c:v>
                </c:pt>
                <c:pt idx="39">
                  <c:v>0.13099999999999998</c:v>
                </c:pt>
                <c:pt idx="40">
                  <c:v>0.12999999999999998</c:v>
                </c:pt>
              </c:numCache>
            </c:numRef>
          </c:xVal>
          <c:yVal>
            <c:numRef>
              <c:f>V_SG_3_V_SL_1!$Z$7:$Z$47</c:f>
              <c:numCache>
                <c:formatCode>General</c:formatCode>
                <c:ptCount val="41"/>
                <c:pt idx="0">
                  <c:v>3.9319319304902138</c:v>
                </c:pt>
                <c:pt idx="1">
                  <c:v>4.0102591015630606</c:v>
                </c:pt>
                <c:pt idx="2">
                  <c:v>4.0900240093957834</c:v>
                </c:pt>
                <c:pt idx="3">
                  <c:v>4.1712616138537948</c:v>
                </c:pt>
                <c:pt idx="4">
                  <c:v>4.2540079354805558</c:v>
                </c:pt>
                <c:pt idx="5">
                  <c:v>4.3383000942590728</c:v>
                </c:pt>
                <c:pt idx="6">
                  <c:v>4.424176350034335</c:v>
                </c:pt>
                <c:pt idx="7">
                  <c:v>4.5116761446784874</c:v>
                </c:pt>
                <c:pt idx="8">
                  <c:v>4.6008401460850425</c:v>
                </c:pt>
                <c:pt idx="9">
                  <c:v>4.6917102940834061</c:v>
                </c:pt>
                <c:pt idx="10">
                  <c:v>4.7843298483700396</c:v>
                </c:pt>
                <c:pt idx="11">
                  <c:v>4.8787434385579367</c:v>
                </c:pt>
                <c:pt idx="12">
                  <c:v>4.974997116452375</c:v>
                </c:pt>
                <c:pt idx="13">
                  <c:v>5.0731384106662869</c:v>
                </c:pt>
                <c:pt idx="14">
                  <c:v>5.1732163836962393</c:v>
                </c:pt>
                <c:pt idx="15">
                  <c:v>5.2752816915858229</c:v>
                </c:pt>
                <c:pt idx="16">
                  <c:v>5.3793866463119926</c:v>
                </c:pt>
                <c:pt idx="17">
                  <c:v>5.4855852810366024</c:v>
                </c:pt>
                <c:pt idx="18">
                  <c:v>5.5939334183749452</c:v>
                </c:pt>
                <c:pt idx="19">
                  <c:v>5.7044887418415113</c:v>
                </c:pt>
                <c:pt idx="20">
                  <c:v>5.8173108706429284</c:v>
                </c:pt>
                <c:pt idx="21">
                  <c:v>5.9324614379986187</c:v>
                </c:pt>
                <c:pt idx="22">
                  <c:v>6.0500041731804615</c:v>
                </c:pt>
                <c:pt idx="23">
                  <c:v>6.1700049874745559</c:v>
                </c:pt>
                <c:pt idx="24">
                  <c:v>6.2925320642807003</c:v>
                </c:pt>
                <c:pt idx="25">
                  <c:v>6.4176559535789863</c:v>
                </c:pt>
                <c:pt idx="26">
                  <c:v>6.5454496710065904</c:v>
                </c:pt>
                <c:pt idx="27">
                  <c:v>6.6759888018039524</c:v>
                </c:pt>
                <c:pt idx="28">
                  <c:v>6.8093516099054536</c:v>
                </c:pt>
                <c:pt idx="29">
                  <c:v>9.1348542398511494</c:v>
                </c:pt>
                <c:pt idx="30">
                  <c:v>9.3958133970300679</c:v>
                </c:pt>
                <c:pt idx="31">
                  <c:v>9.6643112533444615</c:v>
                </c:pt>
                <c:pt idx="32">
                  <c:v>9.9406006992240492</c:v>
                </c:pt>
                <c:pt idx="33">
                  <c:v>10.224944884787424</c:v>
                </c:pt>
                <c:pt idx="34">
                  <c:v>10.517617711498248</c:v>
                </c:pt>
                <c:pt idx="35">
                  <c:v>10.818904351138471</c:v>
                </c:pt>
                <c:pt idx="36">
                  <c:v>11.129101793829191</c:v>
                </c:pt>
                <c:pt idx="37">
                  <c:v>11.448519426953187</c:v>
                </c:pt>
                <c:pt idx="38">
                  <c:v>11.777479646966988</c:v>
                </c:pt>
                <c:pt idx="39">
                  <c:v>12.116318506233277</c:v>
                </c:pt>
                <c:pt idx="40">
                  <c:v>12.46538639716187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F-481A-BBED-6DA26A1DE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878864"/>
        <c:axId val="709886144"/>
      </c:scatterChart>
      <c:valAx>
        <c:axId val="709878864"/>
        <c:scaling>
          <c:orientation val="minMax"/>
          <c:max val="0.17"/>
          <c:min val="0.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86144"/>
        <c:crosses val="autoZero"/>
        <c:crossBetween val="midCat"/>
      </c:valAx>
      <c:valAx>
        <c:axId val="7098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dh/dz numerator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7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7753718285214"/>
          <c:y val="8.0308034412365115E-2"/>
          <c:w val="0.83192979002624656"/>
          <c:h val="0.74040536599591711"/>
        </c:manualLayout>
      </c:layout>
      <c:scatterChart>
        <c:scatterStyle val="lineMarker"/>
        <c:varyColors val="0"/>
        <c:ser>
          <c:idx val="0"/>
          <c:order val="0"/>
          <c:tx>
            <c:v>Taitel &amp; Barnea (1990)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V_SG_3_V_SL_1!$Q$56:$Q$300</c:f>
              <c:numCache>
                <c:formatCode>General</c:formatCode>
                <c:ptCount val="245"/>
                <c:pt idx="0">
                  <c:v>0</c:v>
                </c:pt>
                <c:pt idx="1">
                  <c:v>9.9999999999999995E-7</c:v>
                </c:pt>
                <c:pt idx="2">
                  <c:v>1.9999999999999999E-6</c:v>
                </c:pt>
                <c:pt idx="3">
                  <c:v>3.0000000000000001E-6</c:v>
                </c:pt>
                <c:pt idx="4">
                  <c:v>3.9999999999999998E-6</c:v>
                </c:pt>
                <c:pt idx="5">
                  <c:v>5.1350824756926343E-6</c:v>
                </c:pt>
                <c:pt idx="6">
                  <c:v>6.3892601930977746E-6</c:v>
                </c:pt>
                <c:pt idx="7">
                  <c:v>7.7142049249988495E-6</c:v>
                </c:pt>
                <c:pt idx="8">
                  <c:v>9.2117021047288094E-6</c:v>
                </c:pt>
                <c:pt idx="9">
                  <c:v>1.0925875333318193E-5</c:v>
                </c:pt>
                <c:pt idx="10">
                  <c:v>1.2910957169585904E-5</c:v>
                </c:pt>
                <c:pt idx="11">
                  <c:v>1.5228336411243788E-5</c:v>
                </c:pt>
                <c:pt idx="12">
                  <c:v>1.7951918728868181E-5</c:v>
                </c:pt>
                <c:pt idx="13">
                  <c:v>2.1172068046455691E-5</c:v>
                </c:pt>
                <c:pt idx="14">
                  <c:v>2.5000552145001098E-5</c:v>
                </c:pt>
                <c:pt idx="15">
                  <c:v>2.9576730206673498E-5</c:v>
                </c:pt>
                <c:pt idx="16">
                  <c:v>3.5075555527209017E-5</c:v>
                </c:pt>
                <c:pt idx="17">
                  <c:v>4.1718062522029962E-5</c:v>
                </c:pt>
                <c:pt idx="18">
                  <c:v>4.9785246715277729E-5</c:v>
                </c:pt>
                <c:pt idx="19">
                  <c:v>5.9636590469185383E-5</c:v>
                </c:pt>
                <c:pt idx="20">
                  <c:v>7.1734988740474614E-5</c:v>
                </c:pt>
                <c:pt idx="21">
                  <c:v>8.6680558725514385E-5</c:v>
                </c:pt>
                <c:pt idx="22">
                  <c:v>1.052568860882859E-4</c:v>
                </c:pt>
                <c:pt idx="23">
                  <c:v>1.2849484182565342E-4</c:v>
                </c:pt>
                <c:pt idx="24">
                  <c:v>1.5776146839583757E-4</c:v>
                </c:pt>
                <c:pt idx="25">
                  <c:v>1.9488501093427245E-4</c:v>
                </c:pt>
                <c:pt idx="26">
                  <c:v>2.4233264874257059E-4</c:v>
                </c:pt>
                <c:pt idx="27">
                  <c:v>3.0346598806699985E-4</c:v>
                </c:pt>
                <c:pt idx="28">
                  <c:v>3.4694363153330357E-4</c:v>
                </c:pt>
                <c:pt idx="29">
                  <c:v>4.4915323921639473E-4</c:v>
                </c:pt>
                <c:pt idx="30">
                  <c:v>5.5821204660570594E-4</c:v>
                </c:pt>
                <c:pt idx="31">
                  <c:v>7.2503562615107485E-4</c:v>
                </c:pt>
                <c:pt idx="32">
                  <c:v>9.4328060884066626E-4</c:v>
                </c:pt>
                <c:pt idx="33">
                  <c:v>1.2431746503259082E-3</c:v>
                </c:pt>
                <c:pt idx="34">
                  <c:v>1.6569202129188751E-3</c:v>
                </c:pt>
                <c:pt idx="35">
                  <c:v>2.2374579495174087E-3</c:v>
                </c:pt>
                <c:pt idx="36">
                  <c:v>3.0644421172293036E-3</c:v>
                </c:pt>
                <c:pt idx="37">
                  <c:v>4.2633609962013088E-3</c:v>
                </c:pt>
                <c:pt idx="38">
                  <c:v>6.0346020385687602E-3</c:v>
                </c:pt>
                <c:pt idx="39">
                  <c:v>8.7057274728783128E-3</c:v>
                </c:pt>
                <c:pt idx="40">
                  <c:v>1.2822837851497734E-2</c:v>
                </c:pt>
                <c:pt idx="41">
                  <c:v>1.9313237943864886E-2</c:v>
                </c:pt>
                <c:pt idx="42">
                  <c:v>2.9773419699607694E-2</c:v>
                </c:pt>
                <c:pt idx="43">
                  <c:v>4.6979194060079443E-2</c:v>
                </c:pt>
                <c:pt idx="44">
                  <c:v>7.5796638493630664E-2</c:v>
                </c:pt>
                <c:pt idx="45">
                  <c:v>0.12484274054287894</c:v>
                </c:pt>
                <c:pt idx="46">
                  <c:v>0.2095710957911876</c:v>
                </c:pt>
                <c:pt idx="47">
                  <c:v>0.24253791754228915</c:v>
                </c:pt>
                <c:pt idx="48">
                  <c:v>0.27962824783731399</c:v>
                </c:pt>
                <c:pt idx="49">
                  <c:v>0.32411039143858483</c:v>
                </c:pt>
                <c:pt idx="50">
                  <c:v>0.81726326506325842</c:v>
                </c:pt>
                <c:pt idx="51">
                  <c:v>1.3487218295162766</c:v>
                </c:pt>
                <c:pt idx="52">
                  <c:v>3.1532456734884264</c:v>
                </c:pt>
                <c:pt idx="53">
                  <c:v>4.8781325665145641</c:v>
                </c:pt>
              </c:numCache>
            </c:numRef>
          </c:xVal>
          <c:yVal>
            <c:numRef>
              <c:f>V_SG_3_V_SL_1!$T$56:$T$300</c:f>
              <c:numCache>
                <c:formatCode>General</c:formatCode>
                <c:ptCount val="245"/>
                <c:pt idx="0">
                  <c:v>0.97285452842383113</c:v>
                </c:pt>
                <c:pt idx="1">
                  <c:v>0.9695401137128592</c:v>
                </c:pt>
                <c:pt idx="2">
                  <c:v>0.96677342908074548</c:v>
                </c:pt>
                <c:pt idx="3">
                  <c:v>0.96442763989197389</c:v>
                </c:pt>
                <c:pt idx="4">
                  <c:v>0.96239438467969518</c:v>
                </c:pt>
                <c:pt idx="5">
                  <c:v>0.96036957291196856</c:v>
                </c:pt>
                <c:pt idx="6">
                  <c:v>0.95839663844545719</c:v>
                </c:pt>
                <c:pt idx="7">
                  <c:v>0.95654204882645222</c:v>
                </c:pt>
                <c:pt idx="8">
                  <c:v>0.95466469676306465</c:v>
                </c:pt>
                <c:pt idx="9">
                  <c:v>0.95273684762959066</c:v>
                </c:pt>
                <c:pt idx="10">
                  <c:v>0.95073329718459498</c:v>
                </c:pt>
                <c:pt idx="11">
                  <c:v>0.94863530739192203</c:v>
                </c:pt>
                <c:pt idx="12">
                  <c:v>0.94642595085491732</c:v>
                </c:pt>
                <c:pt idx="13">
                  <c:v>0.94408888954580839</c:v>
                </c:pt>
                <c:pt idx="14">
                  <c:v>0.94160752705656214</c:v>
                </c:pt>
                <c:pt idx="15">
                  <c:v>0.93896446591673166</c:v>
                </c:pt>
                <c:pt idx="16">
                  <c:v>0.93614108314758504</c:v>
                </c:pt>
                <c:pt idx="17">
                  <c:v>0.93311715734731238</c:v>
                </c:pt>
                <c:pt idx="18">
                  <c:v>0.92987050723887543</c:v>
                </c:pt>
                <c:pt idx="19">
                  <c:v>0.92637661704233831</c:v>
                </c:pt>
                <c:pt idx="20">
                  <c:v>0.92260823075224929</c:v>
                </c:pt>
                <c:pt idx="21">
                  <c:v>0.9185349003251847</c:v>
                </c:pt>
                <c:pt idx="22">
                  <c:v>0.914122473718463</c:v>
                </c:pt>
                <c:pt idx="23">
                  <c:v>0.90933250839382074</c:v>
                </c:pt>
                <c:pt idx="24">
                  <c:v>0.90412159484665255</c:v>
                </c:pt>
                <c:pt idx="25">
                  <c:v>0.89844057319440196</c:v>
                </c:pt>
                <c:pt idx="26">
                  <c:v>0.89223362411971663</c:v>
                </c:pt>
                <c:pt idx="27">
                  <c:v>0.88543721375020112</c:v>
                </c:pt>
                <c:pt idx="28">
                  <c:v>0.88119771066119412</c:v>
                </c:pt>
                <c:pt idx="29">
                  <c:v>0.87259834631654754</c:v>
                </c:pt>
                <c:pt idx="30">
                  <c:v>0.86490973174669028</c:v>
                </c:pt>
                <c:pt idx="31">
                  <c:v>0.85509574292888879</c:v>
                </c:pt>
                <c:pt idx="32">
                  <c:v>0.84457422850103891</c:v>
                </c:pt>
                <c:pt idx="33">
                  <c:v>0.83281781357457429</c:v>
                </c:pt>
                <c:pt idx="34">
                  <c:v>0.81978051084033976</c:v>
                </c:pt>
                <c:pt idx="35">
                  <c:v>0.80525579913482981</c:v>
                </c:pt>
                <c:pt idx="36">
                  <c:v>0.78905641137540328</c:v>
                </c:pt>
                <c:pt idx="37">
                  <c:v>0.77095915315288355</c:v>
                </c:pt>
                <c:pt idx="38">
                  <c:v>0.75072737865589989</c:v>
                </c:pt>
                <c:pt idx="39">
                  <c:v>0.72811478223187986</c:v>
                </c:pt>
                <c:pt idx="40">
                  <c:v>0.70289165715022894</c:v>
                </c:pt>
                <c:pt idx="41">
                  <c:v>0.6748866975227511</c:v>
                </c:pt>
                <c:pt idx="42">
                  <c:v>0.64405533100254853</c:v>
                </c:pt>
                <c:pt idx="43">
                  <c:v>0.61055916964117185</c:v>
                </c:pt>
                <c:pt idx="44">
                  <c:v>0.5748233497171007</c:v>
                </c:pt>
                <c:pt idx="45">
                  <c:v>0.53753640559969396</c:v>
                </c:pt>
                <c:pt idx="46">
                  <c:v>0.4995985699584497</c:v>
                </c:pt>
                <c:pt idx="47">
                  <c:v>0.48914656741326296</c:v>
                </c:pt>
                <c:pt idx="48">
                  <c:v>0.48032962612402624</c:v>
                </c:pt>
                <c:pt idx="49">
                  <c:v>0.47197143533677</c:v>
                </c:pt>
                <c:pt idx="50">
                  <c:v>0.41458163593310776</c:v>
                </c:pt>
                <c:pt idx="51">
                  <c:v>0.38224155618032052</c:v>
                </c:pt>
                <c:pt idx="52">
                  <c:v>0.33335295858078023</c:v>
                </c:pt>
                <c:pt idx="53">
                  <c:v>0.31186183598702594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4D-4EF0-8B15-70B91E344182}"/>
            </c:ext>
          </c:extLst>
        </c:ser>
        <c:ser>
          <c:idx val="1"/>
          <c:order val="1"/>
          <c:tx>
            <c:v>Dukler &amp; Hubbard, 1975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2"/>
                </a:solidFill>
              </a:ln>
              <a:effectLst/>
            </c:spPr>
          </c:marker>
          <c:xVal>
            <c:numRef>
              <c:f>V_SG_3_V_SL_1!$J$56:$J$228</c:f>
              <c:numCache>
                <c:formatCode>General</c:formatCode>
                <c:ptCount val="173"/>
                <c:pt idx="0">
                  <c:v>0</c:v>
                </c:pt>
                <c:pt idx="1">
                  <c:v>1.0000000000000001E-5</c:v>
                </c:pt>
                <c:pt idx="2">
                  <c:v>7.8654501633458401E-5</c:v>
                </c:pt>
                <c:pt idx="3">
                  <c:v>1.6049462242151365E-4</c:v>
                </c:pt>
                <c:pt idx="4">
                  <c:v>2.7752959155718268E-4</c:v>
                </c:pt>
                <c:pt idx="5">
                  <c:v>4.410790434224375E-4</c:v>
                </c:pt>
                <c:pt idx="6">
                  <c:v>6.7317588676798785E-4</c:v>
                </c:pt>
                <c:pt idx="7">
                  <c:v>1.0055726279766611E-3</c:v>
                </c:pt>
                <c:pt idx="8">
                  <c:v>1.4868739866956504E-3</c:v>
                </c:pt>
                <c:pt idx="9">
                  <c:v>2.1918100324627588E-3</c:v>
                </c:pt>
                <c:pt idx="10">
                  <c:v>3.2371060330814282E-3</c:v>
                </c:pt>
                <c:pt idx="11">
                  <c:v>4.8080078775929822E-3</c:v>
                </c:pt>
                <c:pt idx="12">
                  <c:v>7.2041930843309192E-3</c:v>
                </c:pt>
                <c:pt idx="13">
                  <c:v>1.0922126135770278E-2</c:v>
                </c:pt>
                <c:pt idx="14">
                  <c:v>1.6810756424877372E-2</c:v>
                </c:pt>
                <c:pt idx="15">
                  <c:v>2.6389556078151164E-2</c:v>
                </c:pt>
                <c:pt idx="16">
                  <c:v>4.257962352567897E-2</c:v>
                </c:pt>
                <c:pt idx="17">
                  <c:v>7.1716349755843761E-2</c:v>
                </c:pt>
                <c:pt idx="18">
                  <c:v>0.13028661488780185</c:v>
                </c:pt>
                <c:pt idx="19">
                  <c:v>0.23770814526266984</c:v>
                </c:pt>
                <c:pt idx="20">
                  <c:v>0.35686639433643669</c:v>
                </c:pt>
                <c:pt idx="21">
                  <c:v>0.38072599890021319</c:v>
                </c:pt>
                <c:pt idx="22">
                  <c:v>0.38486776088167335</c:v>
                </c:pt>
                <c:pt idx="23">
                  <c:v>0.38589892813757853</c:v>
                </c:pt>
                <c:pt idx="24">
                  <c:v>0.38592399567793961</c:v>
                </c:pt>
                <c:pt idx="25">
                  <c:v>0.38593399567793962</c:v>
                </c:pt>
                <c:pt idx="26">
                  <c:v>0.38594399567793963</c:v>
                </c:pt>
                <c:pt idx="27">
                  <c:v>0.41162768886825335</c:v>
                </c:pt>
                <c:pt idx="28">
                  <c:v>0.98235182907319807</c:v>
                </c:pt>
                <c:pt idx="29">
                  <c:v>2.0489352221480406</c:v>
                </c:pt>
                <c:pt idx="30">
                  <c:v>3.8382042229827338</c:v>
                </c:pt>
                <c:pt idx="31">
                  <c:v>4.8781325665145641</c:v>
                </c:pt>
              </c:numCache>
            </c:numRef>
          </c:xVal>
          <c:yVal>
            <c:numRef>
              <c:f>V_SG_3_V_SL_1!$L$56:$L$228</c:f>
              <c:numCache>
                <c:formatCode>General</c:formatCode>
                <c:ptCount val="173"/>
                <c:pt idx="0">
                  <c:v>0.97285452842383113</c:v>
                </c:pt>
                <c:pt idx="1">
                  <c:v>0.97242932853343389</c:v>
                </c:pt>
                <c:pt idx="2">
                  <c:v>0.9697749105277057</c:v>
                </c:pt>
                <c:pt idx="3">
                  <c:v>0.96703761368963026</c:v>
                </c:pt>
                <c:pt idx="4">
                  <c:v>0.96363390342009536</c:v>
                </c:pt>
                <c:pt idx="5">
                  <c:v>0.95951966583405934</c:v>
                </c:pt>
                <c:pt idx="6">
                  <c:v>0.95448899776051999</c:v>
                </c:pt>
                <c:pt idx="7">
                  <c:v>0.94831094642949443</c:v>
                </c:pt>
                <c:pt idx="8">
                  <c:v>0.94068191845903726</c:v>
                </c:pt>
                <c:pt idx="9">
                  <c:v>0.93121451456623461</c:v>
                </c:pt>
                <c:pt idx="10">
                  <c:v>0.91941335046772965</c:v>
                </c:pt>
                <c:pt idx="11">
                  <c:v>0.90464947058806755</c:v>
                </c:pt>
                <c:pt idx="12">
                  <c:v>0.88613202880680386</c:v>
                </c:pt>
                <c:pt idx="13">
                  <c:v>0.86288011259692066</c:v>
                </c:pt>
                <c:pt idx="14">
                  <c:v>0.83369571329753722</c:v>
                </c:pt>
                <c:pt idx="15">
                  <c:v>0.79712915724472944</c:v>
                </c:pt>
                <c:pt idx="16">
                  <c:v>0.75138766474218732</c:v>
                </c:pt>
                <c:pt idx="17">
                  <c:v>0.69400253755560848</c:v>
                </c:pt>
                <c:pt idx="18">
                  <c:v>0.62117013183021674</c:v>
                </c:pt>
                <c:pt idx="19">
                  <c:v>0.54513447742706178</c:v>
                </c:pt>
                <c:pt idx="20">
                  <c:v>0.49547011457287465</c:v>
                </c:pt>
                <c:pt idx="21">
                  <c:v>0.48785434920632192</c:v>
                </c:pt>
                <c:pt idx="22">
                  <c:v>0.48659086688470277</c:v>
                </c:pt>
                <c:pt idx="23">
                  <c:v>0.48627885669311344</c:v>
                </c:pt>
                <c:pt idx="24">
                  <c:v>0.48627128434387684</c:v>
                </c:pt>
                <c:pt idx="25">
                  <c:v>0.48626888978355115</c:v>
                </c:pt>
                <c:pt idx="26">
                  <c:v>0.48626657944219642</c:v>
                </c:pt>
                <c:pt idx="27">
                  <c:v>0.48046295668063127</c:v>
                </c:pt>
                <c:pt idx="28">
                  <c:v>0.39518355663677723</c:v>
                </c:pt>
                <c:pt idx="29">
                  <c:v>0.32845734646728619</c:v>
                </c:pt>
                <c:pt idx="30">
                  <c:v>0.29042847928367099</c:v>
                </c:pt>
                <c:pt idx="31">
                  <c:v>0.28152559698490864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4D-4EF0-8B15-70B91E344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9584"/>
        <c:axId val="3454320"/>
      </c:scatterChart>
      <c:valAx>
        <c:axId val="1848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[m]</a:t>
                </a:r>
              </a:p>
            </c:rich>
          </c:tx>
          <c:layout>
            <c:manualLayout>
              <c:xMode val="edge"/>
              <c:yMode val="edge"/>
              <c:x val="0.50774015748031498"/>
              <c:y val="0.91828703703703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320"/>
        <c:crosses val="autoZero"/>
        <c:crossBetween val="midCat"/>
      </c:valAx>
      <c:valAx>
        <c:axId val="345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layout>
            <c:manualLayout>
              <c:xMode val="edge"/>
              <c:yMode val="edge"/>
              <c:x val="2.208223972003499E-3"/>
              <c:y val="0.364005905511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89584"/>
        <c:crossesAt val="-16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491163604549429"/>
          <c:y val="0.10243000874890641"/>
          <c:w val="0.4735352143482065"/>
          <c:h val="0.18988043161271506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2866022213522348"/>
          <c:y val="0.4657798137630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56856109408826"/>
          <c:y val="2.9285313493185302E-2"/>
          <c:w val="0.26772010329160489"/>
          <c:h val="0.7786508528008361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x"/>
            <c:size val="14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V_SG_3_V_SL_1!$D$5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V_SG_3_V_SL_1!$C$5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A-4276-85D2-60F24D37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307200"/>
        <c:axId val="719307760"/>
      </c:scatterChart>
      <c:valAx>
        <c:axId val="719307200"/>
        <c:scaling>
          <c:logBase val="10"/>
          <c:orientation val="minMax"/>
          <c:max val="100"/>
          <c:min val="1.0000000000000002E-2"/>
        </c:scaling>
        <c:delete val="0"/>
        <c:axPos val="b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07760"/>
        <c:crossesAt val="1.0000000000000002E-3"/>
        <c:crossBetween val="midCat"/>
      </c:valAx>
      <c:valAx>
        <c:axId val="719307760"/>
        <c:scaling>
          <c:logBase val="10"/>
          <c:orientation val="minMax"/>
          <c:max val="10"/>
          <c:min val="1.0000000000000002E-3"/>
        </c:scaling>
        <c:delete val="0"/>
        <c:axPos val="l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0720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V_SG_3_V_SL_1!$Q$7:$Q$33</c:f>
              <c:numCache>
                <c:formatCode>General</c:formatCode>
                <c:ptCount val="27"/>
                <c:pt idx="0">
                  <c:v>1</c:v>
                </c:pt>
                <c:pt idx="1">
                  <c:v>0.99950000000000006</c:v>
                </c:pt>
                <c:pt idx="2">
                  <c:v>0.99900000000000011</c:v>
                </c:pt>
                <c:pt idx="3">
                  <c:v>0.99850000000000017</c:v>
                </c:pt>
                <c:pt idx="4">
                  <c:v>0.99800000000000022</c:v>
                </c:pt>
                <c:pt idx="5">
                  <c:v>0.99750000000000028</c:v>
                </c:pt>
                <c:pt idx="6">
                  <c:v>0.99700000000000033</c:v>
                </c:pt>
                <c:pt idx="7">
                  <c:v>0.99650000000000039</c:v>
                </c:pt>
                <c:pt idx="8">
                  <c:v>0.99600000000000044</c:v>
                </c:pt>
                <c:pt idx="9">
                  <c:v>0.9955000000000005</c:v>
                </c:pt>
                <c:pt idx="10">
                  <c:v>0.99500000000000055</c:v>
                </c:pt>
                <c:pt idx="11">
                  <c:v>0.99450000000000061</c:v>
                </c:pt>
                <c:pt idx="12">
                  <c:v>0.99400000000000066</c:v>
                </c:pt>
                <c:pt idx="13">
                  <c:v>0.99350000000000072</c:v>
                </c:pt>
                <c:pt idx="14">
                  <c:v>0.99300000000000077</c:v>
                </c:pt>
                <c:pt idx="15">
                  <c:v>0.99250000000000083</c:v>
                </c:pt>
                <c:pt idx="16">
                  <c:v>0.99200000000000088</c:v>
                </c:pt>
                <c:pt idx="17">
                  <c:v>0.99150000000000094</c:v>
                </c:pt>
                <c:pt idx="18">
                  <c:v>0.99100000000000099</c:v>
                </c:pt>
                <c:pt idx="19">
                  <c:v>0.99050000000000105</c:v>
                </c:pt>
                <c:pt idx="20">
                  <c:v>0.9900000000000011</c:v>
                </c:pt>
                <c:pt idx="21">
                  <c:v>0.98950000000000116</c:v>
                </c:pt>
                <c:pt idx="22">
                  <c:v>0.98900000000000121</c:v>
                </c:pt>
                <c:pt idx="23">
                  <c:v>0.98850000000000127</c:v>
                </c:pt>
                <c:pt idx="24">
                  <c:v>0.98800000000000132</c:v>
                </c:pt>
                <c:pt idx="25">
                  <c:v>0.98750000000000138</c:v>
                </c:pt>
                <c:pt idx="26">
                  <c:v>0.98700000000000143</c:v>
                </c:pt>
              </c:numCache>
            </c:numRef>
          </c:xVal>
          <c:yVal>
            <c:numRef>
              <c:f>V_SG_3_V_SL_1!$R$7:$R$33</c:f>
              <c:numCache>
                <c:formatCode>General</c:formatCode>
                <c:ptCount val="27"/>
                <c:pt idx="0">
                  <c:v>-11.172899914099824</c:v>
                </c:pt>
                <c:pt idx="1">
                  <c:v>-9.0302266863541298</c:v>
                </c:pt>
                <c:pt idx="2">
                  <c:v>-8.1429503710120503</c:v>
                </c:pt>
                <c:pt idx="3">
                  <c:v>-7.4622130883591966</c:v>
                </c:pt>
                <c:pt idx="4">
                  <c:v>-6.8883612807436796</c:v>
                </c:pt>
                <c:pt idx="5">
                  <c:v>-6.3827887522034734</c:v>
                </c:pt>
                <c:pt idx="6">
                  <c:v>-5.925692868103555</c:v>
                </c:pt>
                <c:pt idx="7">
                  <c:v>-5.5053082050186131</c:v>
                </c:pt>
                <c:pt idx="8">
                  <c:v>-5.1139678192743947</c:v>
                </c:pt>
                <c:pt idx="9">
                  <c:v>-4.7463454673341419</c:v>
                </c:pt>
                <c:pt idx="10">
                  <c:v>-4.3985625927260212</c:v>
                </c:pt>
                <c:pt idx="11">
                  <c:v>-4.0676907872812977</c:v>
                </c:pt>
                <c:pt idx="12">
                  <c:v>-3.7514546528143184</c:v>
                </c:pt>
                <c:pt idx="13">
                  <c:v>-3.4480444353542947</c:v>
                </c:pt>
                <c:pt idx="14">
                  <c:v>-3.1559925929639849</c:v>
                </c:pt>
                <c:pt idx="15">
                  <c:v>-2.8740894968074993</c:v>
                </c:pt>
                <c:pt idx="16">
                  <c:v>-2.6013240913471867</c:v>
                </c:pt>
                <c:pt idx="17">
                  <c:v>-2.3368410347998174</c:v>
                </c:pt>
                <c:pt idx="18">
                  <c:v>-2.0799090484382177</c:v>
                </c:pt>
                <c:pt idx="19">
                  <c:v>-1.8298970872546232</c:v>
                </c:pt>
                <c:pt idx="20">
                  <c:v>-1.5862560917880824</c:v>
                </c:pt>
                <c:pt idx="21">
                  <c:v>-1.3485048019255701</c:v>
                </c:pt>
                <c:pt idx="22">
                  <c:v>-1.1162185792936301</c:v>
                </c:pt>
                <c:pt idx="23">
                  <c:v>-0.88902049324901244</c:v>
                </c:pt>
                <c:pt idx="24">
                  <c:v>-0.66657413415765265</c:v>
                </c:pt>
                <c:pt idx="25">
                  <c:v>-0.4485777616559371</c:v>
                </c:pt>
                <c:pt idx="26">
                  <c:v>-0.23475949673870233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73-4DEF-9B3D-95327E1BB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310000"/>
        <c:axId val="719310560"/>
      </c:scatterChart>
      <c:valAx>
        <c:axId val="7193100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0560"/>
        <c:crosses val="autoZero"/>
        <c:crossBetween val="midCat"/>
      </c:valAx>
      <c:valAx>
        <c:axId val="7193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dh/dz denominator</a:t>
                </a:r>
              </a:p>
            </c:rich>
          </c:tx>
          <c:layout>
            <c:manualLayout>
              <c:xMode val="edge"/>
              <c:yMode val="edge"/>
              <c:x val="1.1111111111111112E-2"/>
              <c:y val="0.207985928842228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1239479440069993"/>
                  <c:y val="-0.2035589822105570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V_SG_3_V_SL_1!$A$78:$A$79</c:f>
              <c:numCache>
                <c:formatCode>General</c:formatCode>
                <c:ptCount val="2"/>
                <c:pt idx="0">
                  <c:v>0.38100000000000001</c:v>
                </c:pt>
                <c:pt idx="1">
                  <c:v>0.141106652</c:v>
                </c:pt>
              </c:numCache>
            </c:numRef>
          </c:xVal>
          <c:yVal>
            <c:numRef>
              <c:f>V_SG_3_V_SL_1!$C$78:$C$79</c:f>
              <c:numCache>
                <c:formatCode>General</c:formatCode>
                <c:ptCount val="2"/>
                <c:pt idx="0">
                  <c:v>1.2097885985625885</c:v>
                </c:pt>
                <c:pt idx="1">
                  <c:v>1.0098189476467287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3-460F-9682-404619EF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312800"/>
        <c:axId val="719313360"/>
      </c:scatterChart>
      <c:valAx>
        <c:axId val="71931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3360"/>
        <c:crosses val="autoZero"/>
        <c:crossBetween val="midCat"/>
      </c:valAx>
      <c:valAx>
        <c:axId val="7193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2866022213522348"/>
          <c:y val="0.4657798137630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271941103970308"/>
          <c:y val="5.3084282079617587E-2"/>
          <c:w val="0.2440607538898418"/>
          <c:h val="0.71065379969674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x"/>
            <c:size val="14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V_SG_3_V_SL_1!$D$5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V_SG_3_V_SL_1!$C$5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B-42C3-B0BB-27984BD5C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315600"/>
        <c:axId val="719316160"/>
      </c:scatterChart>
      <c:valAx>
        <c:axId val="719315600"/>
        <c:scaling>
          <c:logBase val="10"/>
          <c:orientation val="minMax"/>
          <c:max val="100"/>
          <c:min val="1.0000000000000002E-2"/>
        </c:scaling>
        <c:delete val="0"/>
        <c:axPos val="b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6160"/>
        <c:crossesAt val="1.0000000000000002E-3"/>
        <c:crossBetween val="midCat"/>
      </c:valAx>
      <c:valAx>
        <c:axId val="719316160"/>
        <c:scaling>
          <c:logBase val="10"/>
          <c:orientation val="minMax"/>
          <c:max val="10"/>
          <c:min val="1.0000000000000002E-3"/>
        </c:scaling>
        <c:delete val="0"/>
        <c:axPos val="l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560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256174708930614"/>
          <c:y val="4.1666666666666664E-2"/>
          <c:w val="0.73581432128676239"/>
          <c:h val="0.77096754951085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xVal>
            <c:numRef>
              <c:f>V_SG_3_V_SL_1!$AA$56:$AA$270</c:f>
              <c:numCache>
                <c:formatCode>General</c:formatCode>
                <c:ptCount val="215"/>
                <c:pt idx="0">
                  <c:v>30.105662832572818</c:v>
                </c:pt>
                <c:pt idx="1">
                  <c:v>28.962662832572818</c:v>
                </c:pt>
                <c:pt idx="2">
                  <c:v>28.962662832572818</c:v>
                </c:pt>
                <c:pt idx="3">
                  <c:v>28.96266183257282</c:v>
                </c:pt>
                <c:pt idx="4">
                  <c:v>28.962660832572819</c:v>
                </c:pt>
                <c:pt idx="5">
                  <c:v>28.962659832572818</c:v>
                </c:pt>
                <c:pt idx="6">
                  <c:v>28.962658832572817</c:v>
                </c:pt>
                <c:pt idx="7">
                  <c:v>28.962657697490343</c:v>
                </c:pt>
                <c:pt idx="8">
                  <c:v>28.962656443312625</c:v>
                </c:pt>
                <c:pt idx="9">
                  <c:v>28.962655118367895</c:v>
                </c:pt>
                <c:pt idx="10">
                  <c:v>28.962653620870714</c:v>
                </c:pt>
                <c:pt idx="11">
                  <c:v>28.962651906697484</c:v>
                </c:pt>
                <c:pt idx="12">
                  <c:v>28.96264992161565</c:v>
                </c:pt>
                <c:pt idx="13">
                  <c:v>28.962647604236409</c:v>
                </c:pt>
                <c:pt idx="14">
                  <c:v>28.962644880654089</c:v>
                </c:pt>
                <c:pt idx="15">
                  <c:v>28.962641660504772</c:v>
                </c:pt>
                <c:pt idx="16">
                  <c:v>28.962637832020675</c:v>
                </c:pt>
                <c:pt idx="17">
                  <c:v>28.962633255842611</c:v>
                </c:pt>
                <c:pt idx="18">
                  <c:v>28.962627757017291</c:v>
                </c:pt>
                <c:pt idx="19">
                  <c:v>28.962621114510295</c:v>
                </c:pt>
                <c:pt idx="20">
                  <c:v>28.962613047326105</c:v>
                </c:pt>
                <c:pt idx="21">
                  <c:v>28.96260319598235</c:v>
                </c:pt>
                <c:pt idx="22">
                  <c:v>28.962591097584077</c:v>
                </c:pt>
                <c:pt idx="23">
                  <c:v>28.962576152014094</c:v>
                </c:pt>
                <c:pt idx="24">
                  <c:v>28.962557575686731</c:v>
                </c:pt>
                <c:pt idx="25">
                  <c:v>28.962534337730993</c:v>
                </c:pt>
                <c:pt idx="26">
                  <c:v>28.962505071104424</c:v>
                </c:pt>
                <c:pt idx="27">
                  <c:v>28.962467947561883</c:v>
                </c:pt>
                <c:pt idx="28">
                  <c:v>28.962420499924075</c:v>
                </c:pt>
                <c:pt idx="29">
                  <c:v>28.962359366584753</c:v>
                </c:pt>
                <c:pt idx="30">
                  <c:v>28.962315888941284</c:v>
                </c:pt>
                <c:pt idx="31">
                  <c:v>28.962213679333601</c:v>
                </c:pt>
                <c:pt idx="32">
                  <c:v>28.962104620526212</c:v>
                </c:pt>
                <c:pt idx="33">
                  <c:v>28.961937796946668</c:v>
                </c:pt>
                <c:pt idx="34">
                  <c:v>28.961719551963977</c:v>
                </c:pt>
                <c:pt idx="35">
                  <c:v>28.961419657922491</c:v>
                </c:pt>
                <c:pt idx="36">
                  <c:v>28.961005912359902</c:v>
                </c:pt>
                <c:pt idx="37">
                  <c:v>28.960425374623302</c:v>
                </c:pt>
                <c:pt idx="38">
                  <c:v>28.959598390455589</c:v>
                </c:pt>
                <c:pt idx="39">
                  <c:v>28.958399471576616</c:v>
                </c:pt>
                <c:pt idx="40">
                  <c:v>28.95662823053425</c:v>
                </c:pt>
                <c:pt idx="41">
                  <c:v>28.953957105099938</c:v>
                </c:pt>
                <c:pt idx="42">
                  <c:v>28.949839994721319</c:v>
                </c:pt>
                <c:pt idx="43">
                  <c:v>24.084530266058255</c:v>
                </c:pt>
                <c:pt idx="44">
                  <c:v>22.941530266058255</c:v>
                </c:pt>
                <c:pt idx="45">
                  <c:v>22.941530266058255</c:v>
                </c:pt>
                <c:pt idx="46">
                  <c:v>22.941529266058257</c:v>
                </c:pt>
                <c:pt idx="47">
                  <c:v>22.941528266058256</c:v>
                </c:pt>
                <c:pt idx="48">
                  <c:v>22.941527266058255</c:v>
                </c:pt>
                <c:pt idx="49">
                  <c:v>22.941526266058254</c:v>
                </c:pt>
                <c:pt idx="50">
                  <c:v>22.94152513097578</c:v>
                </c:pt>
                <c:pt idx="51">
                  <c:v>22.941523876798062</c:v>
                </c:pt>
                <c:pt idx="52">
                  <c:v>22.941522551853332</c:v>
                </c:pt>
                <c:pt idx="53">
                  <c:v>22.941521054356151</c:v>
                </c:pt>
                <c:pt idx="54">
                  <c:v>22.941519340182921</c:v>
                </c:pt>
                <c:pt idx="55">
                  <c:v>22.941517355101087</c:v>
                </c:pt>
                <c:pt idx="56">
                  <c:v>22.941515037721846</c:v>
                </c:pt>
                <c:pt idx="57">
                  <c:v>22.941512314139526</c:v>
                </c:pt>
                <c:pt idx="58">
                  <c:v>22.941509093990209</c:v>
                </c:pt>
                <c:pt idx="59">
                  <c:v>22.941505265506109</c:v>
                </c:pt>
                <c:pt idx="60">
                  <c:v>22.941500689328048</c:v>
                </c:pt>
                <c:pt idx="61">
                  <c:v>22.941495190502728</c:v>
                </c:pt>
                <c:pt idx="62">
                  <c:v>22.941488547995732</c:v>
                </c:pt>
                <c:pt idx="63">
                  <c:v>22.941480480811542</c:v>
                </c:pt>
                <c:pt idx="64">
                  <c:v>22.941470629467787</c:v>
                </c:pt>
                <c:pt idx="65">
                  <c:v>22.941458531069514</c:v>
                </c:pt>
                <c:pt idx="66">
                  <c:v>22.941443585499531</c:v>
                </c:pt>
                <c:pt idx="67">
                  <c:v>22.941425009172168</c:v>
                </c:pt>
                <c:pt idx="68">
                  <c:v>22.94140177121643</c:v>
                </c:pt>
                <c:pt idx="69">
                  <c:v>22.941372504589861</c:v>
                </c:pt>
                <c:pt idx="70">
                  <c:v>22.94133538104732</c:v>
                </c:pt>
                <c:pt idx="71">
                  <c:v>22.941287933409512</c:v>
                </c:pt>
                <c:pt idx="72">
                  <c:v>22.94122680007019</c:v>
                </c:pt>
                <c:pt idx="73">
                  <c:v>22.941183322426724</c:v>
                </c:pt>
                <c:pt idx="74">
                  <c:v>22.941081112819038</c:v>
                </c:pt>
                <c:pt idx="75">
                  <c:v>22.940972054011649</c:v>
                </c:pt>
                <c:pt idx="76">
                  <c:v>22.940805230432105</c:v>
                </c:pt>
                <c:pt idx="77">
                  <c:v>22.940586985449414</c:v>
                </c:pt>
                <c:pt idx="78">
                  <c:v>22.940287091407932</c:v>
                </c:pt>
                <c:pt idx="79">
                  <c:v>22.939873345845335</c:v>
                </c:pt>
                <c:pt idx="80">
                  <c:v>22.939292808108739</c:v>
                </c:pt>
                <c:pt idx="81">
                  <c:v>22.938465823941026</c:v>
                </c:pt>
                <c:pt idx="82">
                  <c:v>22.937266905062053</c:v>
                </c:pt>
                <c:pt idx="83">
                  <c:v>22.935495664019687</c:v>
                </c:pt>
                <c:pt idx="84">
                  <c:v>22.932824538585379</c:v>
                </c:pt>
                <c:pt idx="85">
                  <c:v>22.928707428206756</c:v>
                </c:pt>
                <c:pt idx="86">
                  <c:v>18.063397699543692</c:v>
                </c:pt>
                <c:pt idx="87">
                  <c:v>16.920397699543692</c:v>
                </c:pt>
                <c:pt idx="88">
                  <c:v>16.920397699543692</c:v>
                </c:pt>
                <c:pt idx="89">
                  <c:v>16.920396699543694</c:v>
                </c:pt>
                <c:pt idx="90">
                  <c:v>16.920395699543693</c:v>
                </c:pt>
                <c:pt idx="91">
                  <c:v>16.920394699543692</c:v>
                </c:pt>
                <c:pt idx="92">
                  <c:v>16.920393699543691</c:v>
                </c:pt>
                <c:pt idx="93">
                  <c:v>16.920392564461217</c:v>
                </c:pt>
                <c:pt idx="94">
                  <c:v>16.920391310283499</c:v>
                </c:pt>
                <c:pt idx="95">
                  <c:v>16.920389985338769</c:v>
                </c:pt>
                <c:pt idx="96">
                  <c:v>16.920388487841588</c:v>
                </c:pt>
                <c:pt idx="97">
                  <c:v>16.920386773668358</c:v>
                </c:pt>
                <c:pt idx="98">
                  <c:v>16.920384788586524</c:v>
                </c:pt>
                <c:pt idx="99">
                  <c:v>16.920382471207283</c:v>
                </c:pt>
                <c:pt idx="100">
                  <c:v>16.920379747624963</c:v>
                </c:pt>
                <c:pt idx="101">
                  <c:v>16.920376527475646</c:v>
                </c:pt>
                <c:pt idx="102">
                  <c:v>16.920372698991549</c:v>
                </c:pt>
                <c:pt idx="103">
                  <c:v>16.920368122813485</c:v>
                </c:pt>
                <c:pt idx="104">
                  <c:v>16.920362623988165</c:v>
                </c:pt>
                <c:pt idx="105">
                  <c:v>16.920355981481169</c:v>
                </c:pt>
                <c:pt idx="106">
                  <c:v>16.920347914296979</c:v>
                </c:pt>
                <c:pt idx="107">
                  <c:v>16.920338062953224</c:v>
                </c:pt>
                <c:pt idx="108">
                  <c:v>16.920325964554952</c:v>
                </c:pt>
                <c:pt idx="109">
                  <c:v>16.920311018984968</c:v>
                </c:pt>
                <c:pt idx="110">
                  <c:v>16.920292442657605</c:v>
                </c:pt>
                <c:pt idx="111">
                  <c:v>16.920269204701867</c:v>
                </c:pt>
                <c:pt idx="112">
                  <c:v>16.920239938075298</c:v>
                </c:pt>
                <c:pt idx="113">
                  <c:v>16.920202814532757</c:v>
                </c:pt>
                <c:pt idx="114">
                  <c:v>16.920155366894949</c:v>
                </c:pt>
                <c:pt idx="115">
                  <c:v>16.920094233555627</c:v>
                </c:pt>
                <c:pt idx="116">
                  <c:v>16.920050755912158</c:v>
                </c:pt>
                <c:pt idx="117">
                  <c:v>16.919948546304475</c:v>
                </c:pt>
                <c:pt idx="118">
                  <c:v>16.919839487497086</c:v>
                </c:pt>
                <c:pt idx="119">
                  <c:v>16.919672663917542</c:v>
                </c:pt>
                <c:pt idx="120">
                  <c:v>16.919454418934851</c:v>
                </c:pt>
                <c:pt idx="121">
                  <c:v>16.919154524893365</c:v>
                </c:pt>
                <c:pt idx="122">
                  <c:v>16.918740779330776</c:v>
                </c:pt>
                <c:pt idx="123">
                  <c:v>16.918160241594176</c:v>
                </c:pt>
                <c:pt idx="124">
                  <c:v>16.917333257426463</c:v>
                </c:pt>
                <c:pt idx="125">
                  <c:v>16.91613433854749</c:v>
                </c:pt>
                <c:pt idx="126">
                  <c:v>16.914363097505124</c:v>
                </c:pt>
                <c:pt idx="127">
                  <c:v>16.911691972070813</c:v>
                </c:pt>
                <c:pt idx="128">
                  <c:v>16.907574861692193</c:v>
                </c:pt>
                <c:pt idx="129">
                  <c:v>12.042265133029128</c:v>
                </c:pt>
                <c:pt idx="130">
                  <c:v>10.899265133029129</c:v>
                </c:pt>
                <c:pt idx="131">
                  <c:v>10.899265133029129</c:v>
                </c:pt>
                <c:pt idx="132">
                  <c:v>10.899264133029128</c:v>
                </c:pt>
                <c:pt idx="133">
                  <c:v>10.899263133029129</c:v>
                </c:pt>
                <c:pt idx="134">
                  <c:v>10.899262133029127</c:v>
                </c:pt>
                <c:pt idx="135">
                  <c:v>10.899261133029128</c:v>
                </c:pt>
                <c:pt idx="136">
                  <c:v>10.899259997946652</c:v>
                </c:pt>
                <c:pt idx="137">
                  <c:v>10.899258743768934</c:v>
                </c:pt>
                <c:pt idx="138">
                  <c:v>10.899257418824202</c:v>
                </c:pt>
                <c:pt idx="139">
                  <c:v>10.899255921327024</c:v>
                </c:pt>
                <c:pt idx="140">
                  <c:v>10.899254207153795</c:v>
                </c:pt>
                <c:pt idx="141">
                  <c:v>10.899252222071958</c:v>
                </c:pt>
                <c:pt idx="142">
                  <c:v>10.899249904692716</c:v>
                </c:pt>
                <c:pt idx="143">
                  <c:v>10.899247181110399</c:v>
                </c:pt>
                <c:pt idx="144">
                  <c:v>10.899243960961082</c:v>
                </c:pt>
                <c:pt idx="145">
                  <c:v>10.899240132476983</c:v>
                </c:pt>
                <c:pt idx="146">
                  <c:v>10.899235556298921</c:v>
                </c:pt>
                <c:pt idx="147">
                  <c:v>10.8992300574736</c:v>
                </c:pt>
                <c:pt idx="148">
                  <c:v>10.899223414966606</c:v>
                </c:pt>
                <c:pt idx="149">
                  <c:v>10.899215347782413</c:v>
                </c:pt>
                <c:pt idx="150">
                  <c:v>10.899205496438659</c:v>
                </c:pt>
                <c:pt idx="151">
                  <c:v>10.899193398040387</c:v>
                </c:pt>
                <c:pt idx="152">
                  <c:v>10.899178452470402</c:v>
                </c:pt>
                <c:pt idx="153">
                  <c:v>10.89915987614304</c:v>
                </c:pt>
                <c:pt idx="154">
                  <c:v>10.899136638187302</c:v>
                </c:pt>
                <c:pt idx="155">
                  <c:v>10.899107371560731</c:v>
                </c:pt>
                <c:pt idx="156">
                  <c:v>10.899070248018194</c:v>
                </c:pt>
                <c:pt idx="157">
                  <c:v>10.899022800380385</c:v>
                </c:pt>
                <c:pt idx="158">
                  <c:v>10.898961667041061</c:v>
                </c:pt>
                <c:pt idx="159">
                  <c:v>10.898918189397595</c:v>
                </c:pt>
                <c:pt idx="160">
                  <c:v>10.898815979789912</c:v>
                </c:pt>
                <c:pt idx="161">
                  <c:v>10.898706920982523</c:v>
                </c:pt>
                <c:pt idx="162">
                  <c:v>10.898540097402977</c:v>
                </c:pt>
                <c:pt idx="163">
                  <c:v>10.898321852420287</c:v>
                </c:pt>
                <c:pt idx="164">
                  <c:v>10.898021958378802</c:v>
                </c:pt>
                <c:pt idx="165">
                  <c:v>10.897608212816209</c:v>
                </c:pt>
                <c:pt idx="166">
                  <c:v>10.89702767507961</c:v>
                </c:pt>
                <c:pt idx="167">
                  <c:v>10.896200690911899</c:v>
                </c:pt>
                <c:pt idx="168">
                  <c:v>10.895001772032927</c:v>
                </c:pt>
                <c:pt idx="169">
                  <c:v>10.893230530990559</c:v>
                </c:pt>
                <c:pt idx="170">
                  <c:v>10.89055940555625</c:v>
                </c:pt>
                <c:pt idx="171">
                  <c:v>10.886442295177631</c:v>
                </c:pt>
                <c:pt idx="172">
                  <c:v>6.0211325665145639</c:v>
                </c:pt>
                <c:pt idx="173">
                  <c:v>4.8781325665145641</c:v>
                </c:pt>
                <c:pt idx="174">
                  <c:v>4.8781325665145641</c:v>
                </c:pt>
                <c:pt idx="175">
                  <c:v>4.8781315665145639</c:v>
                </c:pt>
                <c:pt idx="176">
                  <c:v>4.8781305665145638</c:v>
                </c:pt>
                <c:pt idx="177">
                  <c:v>4.8781295665145645</c:v>
                </c:pt>
                <c:pt idx="178">
                  <c:v>4.8781285665145644</c:v>
                </c:pt>
                <c:pt idx="179">
                  <c:v>4.8781274314320884</c:v>
                </c:pt>
                <c:pt idx="180">
                  <c:v>4.8781261772543711</c:v>
                </c:pt>
                <c:pt idx="181">
                  <c:v>4.8781248523096394</c:v>
                </c:pt>
                <c:pt idx="182">
                  <c:v>4.878123354812459</c:v>
                </c:pt>
                <c:pt idx="183">
                  <c:v>4.8781216406392307</c:v>
                </c:pt>
                <c:pt idx="184">
                  <c:v>4.8781196555573949</c:v>
                </c:pt>
                <c:pt idx="185">
                  <c:v>4.8781173381781526</c:v>
                </c:pt>
                <c:pt idx="186">
                  <c:v>4.8781146145958356</c:v>
                </c:pt>
                <c:pt idx="187">
                  <c:v>4.8781113944465178</c:v>
                </c:pt>
                <c:pt idx="188">
                  <c:v>4.8781075659624191</c:v>
                </c:pt>
                <c:pt idx="189">
                  <c:v>4.8781029897843577</c:v>
                </c:pt>
                <c:pt idx="190">
                  <c:v>4.8780974909590373</c:v>
                </c:pt>
                <c:pt idx="191">
                  <c:v>4.8780908484520422</c:v>
                </c:pt>
                <c:pt idx="192">
                  <c:v>4.8780827812678487</c:v>
                </c:pt>
                <c:pt idx="193">
                  <c:v>4.8780729299240946</c:v>
                </c:pt>
                <c:pt idx="194">
                  <c:v>4.8780608315258238</c:v>
                </c:pt>
                <c:pt idx="195">
                  <c:v>4.8780458859558387</c:v>
                </c:pt>
                <c:pt idx="196">
                  <c:v>4.8780273096284761</c:v>
                </c:pt>
                <c:pt idx="197">
                  <c:v>4.8780040716727386</c:v>
                </c:pt>
                <c:pt idx="198">
                  <c:v>4.8779748050461684</c:v>
                </c:pt>
                <c:pt idx="199">
                  <c:v>4.8779376815036297</c:v>
                </c:pt>
                <c:pt idx="200">
                  <c:v>4.8778902338658217</c:v>
                </c:pt>
                <c:pt idx="201">
                  <c:v>4.8778291005264975</c:v>
                </c:pt>
                <c:pt idx="202">
                  <c:v>4.8777856228830307</c:v>
                </c:pt>
                <c:pt idx="203">
                  <c:v>4.8776834132753475</c:v>
                </c:pt>
                <c:pt idx="204">
                  <c:v>4.8775743544679582</c:v>
                </c:pt>
                <c:pt idx="205">
                  <c:v>4.8774075308884131</c:v>
                </c:pt>
                <c:pt idx="206">
                  <c:v>4.8771892859057235</c:v>
                </c:pt>
                <c:pt idx="207">
                  <c:v>4.8768893918642382</c:v>
                </c:pt>
                <c:pt idx="208">
                  <c:v>4.8764756463016452</c:v>
                </c:pt>
                <c:pt idx="209">
                  <c:v>4.8758951085650466</c:v>
                </c:pt>
                <c:pt idx="210">
                  <c:v>4.8750681243973348</c:v>
                </c:pt>
                <c:pt idx="211">
                  <c:v>4.8738692055183623</c:v>
                </c:pt>
                <c:pt idx="212">
                  <c:v>4.8720979644759952</c:v>
                </c:pt>
                <c:pt idx="213">
                  <c:v>4.8694268390416857</c:v>
                </c:pt>
                <c:pt idx="214">
                  <c:v>4.8653097286630667</c:v>
                </c:pt>
              </c:numCache>
            </c:numRef>
          </c:xVal>
          <c:yVal>
            <c:numRef>
              <c:f>V_SG_3_V_SL_1!$AB$56:$AB$270</c:f>
              <c:numCache>
                <c:formatCode>General</c:formatCode>
                <c:ptCount val="215"/>
                <c:pt idx="0">
                  <c:v>0.97285452842383113</c:v>
                </c:pt>
                <c:pt idx="1">
                  <c:v>0.97285452842383113</c:v>
                </c:pt>
                <c:pt idx="2">
                  <c:v>0.97285452842383113</c:v>
                </c:pt>
                <c:pt idx="3">
                  <c:v>0.95431555062431983</c:v>
                </c:pt>
                <c:pt idx="4">
                  <c:v>0.94526523863597467</c:v>
                </c:pt>
                <c:pt idx="5">
                  <c:v>0.93900304266325696</c:v>
                </c:pt>
                <c:pt idx="6">
                  <c:v>0.93408397023448453</c:v>
                </c:pt>
                <c:pt idx="7">
                  <c:v>0.92997640409739935</c:v>
                </c:pt>
                <c:pt idx="8">
                  <c:v>0.92642012673556284</c:v>
                </c:pt>
                <c:pt idx="9">
                  <c:v>0.92266674638686008</c:v>
                </c:pt>
                <c:pt idx="10">
                  <c:v>0.91859627482476058</c:v>
                </c:pt>
                <c:pt idx="11">
                  <c:v>0.91418936410388296</c:v>
                </c:pt>
                <c:pt idx="12">
                  <c:v>0.90940513673670975</c:v>
                </c:pt>
                <c:pt idx="13">
                  <c:v>0.90420069923335833</c:v>
                </c:pt>
                <c:pt idx="14">
                  <c:v>0.89852690215880404</c:v>
                </c:pt>
                <c:pt idx="15">
                  <c:v>0.8923280452550667</c:v>
                </c:pt>
                <c:pt idx="16">
                  <c:v>0.88554071237913856</c:v>
                </c:pt>
                <c:pt idx="17">
                  <c:v>0.8813042663320827</c:v>
                </c:pt>
                <c:pt idx="18">
                  <c:v>0.87271763611255715</c:v>
                </c:pt>
                <c:pt idx="19">
                  <c:v>0.86503915102175011</c:v>
                </c:pt>
                <c:pt idx="20">
                  <c:v>0.8552394874830842</c:v>
                </c:pt>
                <c:pt idx="21">
                  <c:v>0.84473316333568194</c:v>
                </c:pt>
                <c:pt idx="22">
                  <c:v>0.83299431723518536</c:v>
                </c:pt>
                <c:pt idx="23">
                  <c:v>0.81997680259060624</c:v>
                </c:pt>
                <c:pt idx="24">
                  <c:v>0.80547458016927453</c:v>
                </c:pt>
                <c:pt idx="25">
                  <c:v>0.7893006424971396</c:v>
                </c:pt>
                <c:pt idx="26">
                  <c:v>0.77123212562617249</c:v>
                </c:pt>
                <c:pt idx="27">
                  <c:v>0.75103257945464996</c:v>
                </c:pt>
                <c:pt idx="28">
                  <c:v>0.72845568886957368</c:v>
                </c:pt>
                <c:pt idx="29">
                  <c:v>0.70327127069389761</c:v>
                </c:pt>
                <c:pt idx="30">
                  <c:v>0.67530676092515485</c:v>
                </c:pt>
                <c:pt idx="31">
                  <c:v>0.64451521279243373</c:v>
                </c:pt>
                <c:pt idx="32">
                  <c:v>0.61105478378177158</c:v>
                </c:pt>
                <c:pt idx="33">
                  <c:v>0.57534669570155927</c:v>
                </c:pt>
                <c:pt idx="34">
                  <c:v>0.53807598563900061</c:v>
                </c:pt>
                <c:pt idx="35">
                  <c:v>0.50014041541987242</c:v>
                </c:pt>
                <c:pt idx="36">
                  <c:v>0.48980530792201532</c:v>
                </c:pt>
                <c:pt idx="37">
                  <c:v>0.47952536606680624</c:v>
                </c:pt>
                <c:pt idx="38">
                  <c:v>0.46716175694629641</c:v>
                </c:pt>
                <c:pt idx="39">
                  <c:v>0.41106422011527588</c:v>
                </c:pt>
                <c:pt idx="40">
                  <c:v>0.37818505232336652</c:v>
                </c:pt>
                <c:pt idx="41">
                  <c:v>0.32929038282229839</c:v>
                </c:pt>
                <c:pt idx="42">
                  <c:v>0.31208377348349114</c:v>
                </c:pt>
                <c:pt idx="43">
                  <c:v>0.97285452842383113</c:v>
                </c:pt>
                <c:pt idx="44">
                  <c:v>0.97285452842383113</c:v>
                </c:pt>
                <c:pt idx="45">
                  <c:v>0.97285452842383113</c:v>
                </c:pt>
                <c:pt idx="46">
                  <c:v>0.95431555062431983</c:v>
                </c:pt>
                <c:pt idx="47">
                  <c:v>0.94526523863597467</c:v>
                </c:pt>
                <c:pt idx="48">
                  <c:v>0.93900304266325696</c:v>
                </c:pt>
                <c:pt idx="49">
                  <c:v>0.93408397023448453</c:v>
                </c:pt>
                <c:pt idx="50">
                  <c:v>0.92997640409739935</c:v>
                </c:pt>
                <c:pt idx="51">
                  <c:v>0.92642012673556284</c:v>
                </c:pt>
                <c:pt idx="52">
                  <c:v>0.92266674638686008</c:v>
                </c:pt>
                <c:pt idx="53">
                  <c:v>0.91859627482476058</c:v>
                </c:pt>
                <c:pt idx="54">
                  <c:v>0.91418936410388296</c:v>
                </c:pt>
                <c:pt idx="55">
                  <c:v>0.90940513673670975</c:v>
                </c:pt>
                <c:pt idx="56">
                  <c:v>0.90420069923335833</c:v>
                </c:pt>
                <c:pt idx="57">
                  <c:v>0.89852690215880404</c:v>
                </c:pt>
                <c:pt idx="58">
                  <c:v>0.8923280452550667</c:v>
                </c:pt>
                <c:pt idx="59">
                  <c:v>0.88554071237913856</c:v>
                </c:pt>
                <c:pt idx="60">
                  <c:v>0.8813042663320827</c:v>
                </c:pt>
                <c:pt idx="61">
                  <c:v>0.87271763611255715</c:v>
                </c:pt>
                <c:pt idx="62">
                  <c:v>0.86503915102175011</c:v>
                </c:pt>
                <c:pt idx="63">
                  <c:v>0.8552394874830842</c:v>
                </c:pt>
                <c:pt idx="64">
                  <c:v>0.84473316333568194</c:v>
                </c:pt>
                <c:pt idx="65">
                  <c:v>0.83299431723518536</c:v>
                </c:pt>
                <c:pt idx="66">
                  <c:v>0.81997680259060624</c:v>
                </c:pt>
                <c:pt idx="67">
                  <c:v>0.80547458016927453</c:v>
                </c:pt>
                <c:pt idx="68">
                  <c:v>0.7893006424971396</c:v>
                </c:pt>
                <c:pt idx="69">
                  <c:v>0.77123212562617249</c:v>
                </c:pt>
                <c:pt idx="70">
                  <c:v>0.75103257945464996</c:v>
                </c:pt>
                <c:pt idx="71">
                  <c:v>0.72845568886957368</c:v>
                </c:pt>
                <c:pt idx="72">
                  <c:v>0.70327127069389761</c:v>
                </c:pt>
                <c:pt idx="73">
                  <c:v>0.67530676092515485</c:v>
                </c:pt>
                <c:pt idx="74">
                  <c:v>0.64451521279243373</c:v>
                </c:pt>
                <c:pt idx="75">
                  <c:v>0.61105478378177158</c:v>
                </c:pt>
                <c:pt idx="76">
                  <c:v>0.57534669570155927</c:v>
                </c:pt>
                <c:pt idx="77">
                  <c:v>0.53807598563900061</c:v>
                </c:pt>
                <c:pt idx="78">
                  <c:v>0.50014041541987242</c:v>
                </c:pt>
                <c:pt idx="79">
                  <c:v>0.48980530792201532</c:v>
                </c:pt>
                <c:pt idx="80">
                  <c:v>0.47952536606680624</c:v>
                </c:pt>
                <c:pt idx="81">
                  <c:v>0.46716175694629641</c:v>
                </c:pt>
                <c:pt idx="82">
                  <c:v>0.41106422011527588</c:v>
                </c:pt>
                <c:pt idx="83">
                  <c:v>0.37818505232336652</c:v>
                </c:pt>
                <c:pt idx="84">
                  <c:v>0.32929038282229839</c:v>
                </c:pt>
                <c:pt idx="85">
                  <c:v>0.31208377348349114</c:v>
                </c:pt>
                <c:pt idx="86">
                  <c:v>0.97285452842383113</c:v>
                </c:pt>
                <c:pt idx="87">
                  <c:v>0.97285452842383113</c:v>
                </c:pt>
                <c:pt idx="88">
                  <c:v>0.97285452842383113</c:v>
                </c:pt>
                <c:pt idx="89">
                  <c:v>0.95431555062431983</c:v>
                </c:pt>
                <c:pt idx="90">
                  <c:v>0.94526523863597467</c:v>
                </c:pt>
                <c:pt idx="91">
                  <c:v>0.93900304266325696</c:v>
                </c:pt>
                <c:pt idx="92">
                  <c:v>0.93408397023448453</c:v>
                </c:pt>
                <c:pt idx="93">
                  <c:v>0.92997640409739935</c:v>
                </c:pt>
                <c:pt idx="94">
                  <c:v>0.92642012673556284</c:v>
                </c:pt>
                <c:pt idx="95">
                  <c:v>0.92266674638686008</c:v>
                </c:pt>
                <c:pt idx="96">
                  <c:v>0.91859627482476058</c:v>
                </c:pt>
                <c:pt idx="97">
                  <c:v>0.91418936410388296</c:v>
                </c:pt>
                <c:pt idx="98">
                  <c:v>0.90940513673670975</c:v>
                </c:pt>
                <c:pt idx="99">
                  <c:v>0.90420069923335833</c:v>
                </c:pt>
                <c:pt idx="100">
                  <c:v>0.89852690215880404</c:v>
                </c:pt>
                <c:pt idx="101">
                  <c:v>0.8923280452550667</c:v>
                </c:pt>
                <c:pt idx="102">
                  <c:v>0.88554071237913856</c:v>
                </c:pt>
                <c:pt idx="103">
                  <c:v>0.8813042663320827</c:v>
                </c:pt>
                <c:pt idx="104">
                  <c:v>0.87271763611255715</c:v>
                </c:pt>
                <c:pt idx="105">
                  <c:v>0.86503915102175011</c:v>
                </c:pt>
                <c:pt idx="106">
                  <c:v>0.8552394874830842</c:v>
                </c:pt>
                <c:pt idx="107">
                  <c:v>0.84473316333568194</c:v>
                </c:pt>
                <c:pt idx="108">
                  <c:v>0.83299431723518536</c:v>
                </c:pt>
                <c:pt idx="109">
                  <c:v>0.81997680259060624</c:v>
                </c:pt>
                <c:pt idx="110">
                  <c:v>0.80547458016927453</c:v>
                </c:pt>
                <c:pt idx="111">
                  <c:v>0.7893006424971396</c:v>
                </c:pt>
                <c:pt idx="112">
                  <c:v>0.77123212562617249</c:v>
                </c:pt>
                <c:pt idx="113">
                  <c:v>0.75103257945464996</c:v>
                </c:pt>
                <c:pt idx="114">
                  <c:v>0.72845568886957368</c:v>
                </c:pt>
                <c:pt idx="115">
                  <c:v>0.70327127069389761</c:v>
                </c:pt>
                <c:pt idx="116">
                  <c:v>0.67530676092515485</c:v>
                </c:pt>
                <c:pt idx="117">
                  <c:v>0.64451521279243373</c:v>
                </c:pt>
                <c:pt idx="118">
                  <c:v>0.61105478378177158</c:v>
                </c:pt>
                <c:pt idx="119">
                  <c:v>0.57534669570155927</c:v>
                </c:pt>
                <c:pt idx="120">
                  <c:v>0.53807598563900061</c:v>
                </c:pt>
                <c:pt idx="121">
                  <c:v>0.50014041541987242</c:v>
                </c:pt>
                <c:pt idx="122">
                  <c:v>0.48980530792201532</c:v>
                </c:pt>
                <c:pt idx="123">
                  <c:v>0.47952536606680624</c:v>
                </c:pt>
                <c:pt idx="124">
                  <c:v>0.46716175694629641</c:v>
                </c:pt>
                <c:pt idx="125">
                  <c:v>0.41106422011527588</c:v>
                </c:pt>
                <c:pt idx="126">
                  <c:v>0.37818505232336652</c:v>
                </c:pt>
                <c:pt idx="127">
                  <c:v>0.32929038282229839</c:v>
                </c:pt>
                <c:pt idx="128">
                  <c:v>0.31208377348349114</c:v>
                </c:pt>
                <c:pt idx="129">
                  <c:v>0.97285452842383113</c:v>
                </c:pt>
                <c:pt idx="130">
                  <c:v>0.97285452842383113</c:v>
                </c:pt>
                <c:pt idx="131">
                  <c:v>0.97285452842383113</c:v>
                </c:pt>
                <c:pt idx="132">
                  <c:v>0.95431555062431983</c:v>
                </c:pt>
                <c:pt idx="133">
                  <c:v>0.94526523863597467</c:v>
                </c:pt>
                <c:pt idx="134">
                  <c:v>0.93900304266325696</c:v>
                </c:pt>
                <c:pt idx="135">
                  <c:v>0.93408397023448453</c:v>
                </c:pt>
                <c:pt idx="136">
                  <c:v>0.92997640409739935</c:v>
                </c:pt>
                <c:pt idx="137">
                  <c:v>0.92642012673556284</c:v>
                </c:pt>
                <c:pt idx="138">
                  <c:v>0.92266674638686008</c:v>
                </c:pt>
                <c:pt idx="139">
                  <c:v>0.91859627482476058</c:v>
                </c:pt>
                <c:pt idx="140">
                  <c:v>0.91418936410388296</c:v>
                </c:pt>
                <c:pt idx="141">
                  <c:v>0.90940513673670975</c:v>
                </c:pt>
                <c:pt idx="142">
                  <c:v>0.90420069923335833</c:v>
                </c:pt>
                <c:pt idx="143">
                  <c:v>0.89852690215880404</c:v>
                </c:pt>
                <c:pt idx="144">
                  <c:v>0.8923280452550667</c:v>
                </c:pt>
                <c:pt idx="145">
                  <c:v>0.88554071237913856</c:v>
                </c:pt>
                <c:pt idx="146">
                  <c:v>0.8813042663320827</c:v>
                </c:pt>
                <c:pt idx="147">
                  <c:v>0.87271763611255715</c:v>
                </c:pt>
                <c:pt idx="148">
                  <c:v>0.86503915102175011</c:v>
                </c:pt>
                <c:pt idx="149">
                  <c:v>0.8552394874830842</c:v>
                </c:pt>
                <c:pt idx="150">
                  <c:v>0.84473316333568194</c:v>
                </c:pt>
                <c:pt idx="151">
                  <c:v>0.83299431723518536</c:v>
                </c:pt>
                <c:pt idx="152">
                  <c:v>0.81997680259060624</c:v>
                </c:pt>
                <c:pt idx="153">
                  <c:v>0.80547458016927453</c:v>
                </c:pt>
                <c:pt idx="154">
                  <c:v>0.7893006424971396</c:v>
                </c:pt>
                <c:pt idx="155">
                  <c:v>0.77123212562617249</c:v>
                </c:pt>
                <c:pt idx="156">
                  <c:v>0.75103257945464996</c:v>
                </c:pt>
                <c:pt idx="157">
                  <c:v>0.72845568886957368</c:v>
                </c:pt>
                <c:pt idx="158">
                  <c:v>0.70327127069389761</c:v>
                </c:pt>
                <c:pt idx="159">
                  <c:v>0.67530676092515485</c:v>
                </c:pt>
                <c:pt idx="160">
                  <c:v>0.64451521279243373</c:v>
                </c:pt>
                <c:pt idx="161">
                  <c:v>0.61105478378177158</c:v>
                </c:pt>
                <c:pt idx="162">
                  <c:v>0.57534669570155927</c:v>
                </c:pt>
                <c:pt idx="163">
                  <c:v>0.53807598563900061</c:v>
                </c:pt>
                <c:pt idx="164">
                  <c:v>0.50014041541987242</c:v>
                </c:pt>
                <c:pt idx="165">
                  <c:v>0.48980530792201532</c:v>
                </c:pt>
                <c:pt idx="166">
                  <c:v>0.47952536606680624</c:v>
                </c:pt>
                <c:pt idx="167">
                  <c:v>0.46716175694629641</c:v>
                </c:pt>
                <c:pt idx="168">
                  <c:v>0.41106422011527588</c:v>
                </c:pt>
                <c:pt idx="169">
                  <c:v>0.37818505232336652</c:v>
                </c:pt>
                <c:pt idx="170">
                  <c:v>0.32929038282229839</c:v>
                </c:pt>
                <c:pt idx="171">
                  <c:v>0.31208377348349114</c:v>
                </c:pt>
                <c:pt idx="172">
                  <c:v>0.97285452842383113</c:v>
                </c:pt>
                <c:pt idx="173">
                  <c:v>0.97285452842383113</c:v>
                </c:pt>
                <c:pt idx="174">
                  <c:v>0.97285452842383113</c:v>
                </c:pt>
                <c:pt idx="175">
                  <c:v>0.95431555062431983</c:v>
                </c:pt>
                <c:pt idx="176">
                  <c:v>0.94526523863597467</c:v>
                </c:pt>
                <c:pt idx="177">
                  <c:v>0.93900304266325696</c:v>
                </c:pt>
                <c:pt idx="178">
                  <c:v>0.93408397023448453</c:v>
                </c:pt>
                <c:pt idx="179">
                  <c:v>0.92997640409739935</c:v>
                </c:pt>
                <c:pt idx="180">
                  <c:v>0.92642012673556284</c:v>
                </c:pt>
                <c:pt idx="181">
                  <c:v>0.92266674638686008</c:v>
                </c:pt>
                <c:pt idx="182">
                  <c:v>0.91859627482476058</c:v>
                </c:pt>
                <c:pt idx="183">
                  <c:v>0.91418936410388296</c:v>
                </c:pt>
                <c:pt idx="184">
                  <c:v>0.90940513673670975</c:v>
                </c:pt>
                <c:pt idx="185">
                  <c:v>0.90420069923335833</c:v>
                </c:pt>
                <c:pt idx="186">
                  <c:v>0.89852690215880404</c:v>
                </c:pt>
                <c:pt idx="187">
                  <c:v>0.8923280452550667</c:v>
                </c:pt>
                <c:pt idx="188">
                  <c:v>0.88554071237913856</c:v>
                </c:pt>
                <c:pt idx="189">
                  <c:v>0.8813042663320827</c:v>
                </c:pt>
                <c:pt idx="190">
                  <c:v>0.87271763611255715</c:v>
                </c:pt>
                <c:pt idx="191">
                  <c:v>0.86503915102175011</c:v>
                </c:pt>
                <c:pt idx="192">
                  <c:v>0.8552394874830842</c:v>
                </c:pt>
                <c:pt idx="193">
                  <c:v>0.84473316333568194</c:v>
                </c:pt>
                <c:pt idx="194">
                  <c:v>0.83299431723518536</c:v>
                </c:pt>
                <c:pt idx="195">
                  <c:v>0.81997680259060624</c:v>
                </c:pt>
                <c:pt idx="196">
                  <c:v>0.80547458016927453</c:v>
                </c:pt>
                <c:pt idx="197">
                  <c:v>0.7893006424971396</c:v>
                </c:pt>
                <c:pt idx="198">
                  <c:v>0.77123212562617249</c:v>
                </c:pt>
                <c:pt idx="199">
                  <c:v>0.75103257945464996</c:v>
                </c:pt>
                <c:pt idx="200">
                  <c:v>0.72845568886957368</c:v>
                </c:pt>
                <c:pt idx="201">
                  <c:v>0.70327127069389761</c:v>
                </c:pt>
                <c:pt idx="202">
                  <c:v>0.67530676092515485</c:v>
                </c:pt>
                <c:pt idx="203">
                  <c:v>0.64451521279243373</c:v>
                </c:pt>
                <c:pt idx="204">
                  <c:v>0.61105478378177158</c:v>
                </c:pt>
                <c:pt idx="205">
                  <c:v>0.57534669570155927</c:v>
                </c:pt>
                <c:pt idx="206">
                  <c:v>0.53807598563900061</c:v>
                </c:pt>
                <c:pt idx="207">
                  <c:v>0.50014041541987242</c:v>
                </c:pt>
                <c:pt idx="208">
                  <c:v>0.48980530792201532</c:v>
                </c:pt>
                <c:pt idx="209">
                  <c:v>0.47952536606680624</c:v>
                </c:pt>
                <c:pt idx="210">
                  <c:v>0.46716175694629641</c:v>
                </c:pt>
                <c:pt idx="211">
                  <c:v>0.41106422011527588</c:v>
                </c:pt>
                <c:pt idx="212">
                  <c:v>0.37818505232336652</c:v>
                </c:pt>
                <c:pt idx="213">
                  <c:v>0.32929038282229839</c:v>
                </c:pt>
                <c:pt idx="214">
                  <c:v>0.31208377348349114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0-4C92-BFA1-3C992566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318400"/>
        <c:axId val="719318960"/>
      </c:scatterChart>
      <c:valAx>
        <c:axId val="719318400"/>
        <c:scaling>
          <c:orientation val="minMax"/>
          <c:max val="3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8960"/>
        <c:crosses val="autoZero"/>
        <c:crossBetween val="midCat"/>
        <c:majorUnit val="8"/>
      </c:valAx>
      <c:valAx>
        <c:axId val="71931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1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54054357996747"/>
          <c:y val="5.4236293379994166E-2"/>
          <c:w val="0.81646091074156202"/>
          <c:h val="0.818772965879265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V_SG_1_V_SL_1!$Y$7:$Y$47</c:f>
              <c:numCache>
                <c:formatCode>General</c:formatCode>
                <c:ptCount val="41"/>
                <c:pt idx="0">
                  <c:v>0.17</c:v>
                </c:pt>
                <c:pt idx="1">
                  <c:v>0.16900000000000001</c:v>
                </c:pt>
                <c:pt idx="2">
                  <c:v>0.16800000000000001</c:v>
                </c:pt>
                <c:pt idx="3">
                  <c:v>0.16700000000000001</c:v>
                </c:pt>
                <c:pt idx="4">
                  <c:v>0.16600000000000001</c:v>
                </c:pt>
                <c:pt idx="5">
                  <c:v>0.16500000000000001</c:v>
                </c:pt>
                <c:pt idx="6">
                  <c:v>0.16400000000000001</c:v>
                </c:pt>
                <c:pt idx="7">
                  <c:v>0.16300000000000001</c:v>
                </c:pt>
                <c:pt idx="8">
                  <c:v>0.16200000000000001</c:v>
                </c:pt>
                <c:pt idx="9">
                  <c:v>0.161</c:v>
                </c:pt>
                <c:pt idx="10">
                  <c:v>0.16</c:v>
                </c:pt>
                <c:pt idx="11">
                  <c:v>0.159</c:v>
                </c:pt>
                <c:pt idx="12">
                  <c:v>0.158</c:v>
                </c:pt>
                <c:pt idx="13">
                  <c:v>0.157</c:v>
                </c:pt>
                <c:pt idx="14">
                  <c:v>0.156</c:v>
                </c:pt>
                <c:pt idx="15">
                  <c:v>0.155</c:v>
                </c:pt>
                <c:pt idx="16">
                  <c:v>0.154</c:v>
                </c:pt>
                <c:pt idx="17">
                  <c:v>0.153</c:v>
                </c:pt>
                <c:pt idx="18">
                  <c:v>0.152</c:v>
                </c:pt>
                <c:pt idx="19">
                  <c:v>0.151</c:v>
                </c:pt>
                <c:pt idx="20">
                  <c:v>0.15</c:v>
                </c:pt>
                <c:pt idx="21">
                  <c:v>0.14899999999999999</c:v>
                </c:pt>
                <c:pt idx="22">
                  <c:v>0.14799999999999999</c:v>
                </c:pt>
                <c:pt idx="23">
                  <c:v>0.14699999999999999</c:v>
                </c:pt>
                <c:pt idx="24">
                  <c:v>0.14599999999999999</c:v>
                </c:pt>
                <c:pt idx="25">
                  <c:v>0.14499999999999999</c:v>
                </c:pt>
                <c:pt idx="26">
                  <c:v>0.14399999999999999</c:v>
                </c:pt>
                <c:pt idx="27">
                  <c:v>0.14299999999999999</c:v>
                </c:pt>
                <c:pt idx="28">
                  <c:v>0.14199999999999999</c:v>
                </c:pt>
                <c:pt idx="29">
                  <c:v>0.14099999999999999</c:v>
                </c:pt>
                <c:pt idx="30">
                  <c:v>0.13999999999999999</c:v>
                </c:pt>
                <c:pt idx="31">
                  <c:v>0.13899999999999998</c:v>
                </c:pt>
                <c:pt idx="32">
                  <c:v>0.13799999999999998</c:v>
                </c:pt>
                <c:pt idx="33">
                  <c:v>0.13699999999999998</c:v>
                </c:pt>
                <c:pt idx="34">
                  <c:v>0.13599999999999998</c:v>
                </c:pt>
                <c:pt idx="35">
                  <c:v>0.13499999999999998</c:v>
                </c:pt>
                <c:pt idx="36">
                  <c:v>0.13399999999999998</c:v>
                </c:pt>
                <c:pt idx="37">
                  <c:v>0.13299999999999998</c:v>
                </c:pt>
                <c:pt idx="38">
                  <c:v>0.13199999999999998</c:v>
                </c:pt>
                <c:pt idx="39">
                  <c:v>0.13099999999999998</c:v>
                </c:pt>
                <c:pt idx="40">
                  <c:v>0.12999999999999998</c:v>
                </c:pt>
              </c:numCache>
            </c:numRef>
          </c:xVal>
          <c:yVal>
            <c:numRef>
              <c:f>V_SG_1_V_SL_1!$Z$7:$Z$47</c:f>
              <c:numCache>
                <c:formatCode>General</c:formatCode>
                <c:ptCount val="41"/>
                <c:pt idx="0">
                  <c:v>3.0364890878482109</c:v>
                </c:pt>
                <c:pt idx="1">
                  <c:v>3.0883675735506042</c:v>
                </c:pt>
                <c:pt idx="2">
                  <c:v>3.141189638522623</c:v>
                </c:pt>
                <c:pt idx="3">
                  <c:v>3.19497811969585</c:v>
                </c:pt>
                <c:pt idx="4">
                  <c:v>3.2497565453498742</c:v>
                </c:pt>
                <c:pt idx="5">
                  <c:v>3.3055491603441731</c:v>
                </c:pt>
                <c:pt idx="6">
                  <c:v>3.3623809524302795</c:v>
                </c:pt>
                <c:pt idx="7">
                  <c:v>3.4202776796974188</c:v>
                </c:pt>
                <c:pt idx="8">
                  <c:v>3.4792658992077126</c:v>
                </c:pt>
                <c:pt idx="9">
                  <c:v>3.539372996880255</c:v>
                </c:pt>
                <c:pt idx="10">
                  <c:v>3.6006272186867143</c:v>
                </c:pt>
                <c:pt idx="11">
                  <c:v>3.6630577032245006</c:v>
                </c:pt>
                <c:pt idx="12">
                  <c:v>3.7266945157377105</c:v>
                </c:pt>
                <c:pt idx="13">
                  <c:v>3.7915686836594915</c:v>
                </c:pt>
                <c:pt idx="14">
                  <c:v>3.8577122337544689</c:v>
                </c:pt>
                <c:pt idx="15">
                  <c:v>3.9251582309436621</c:v>
                </c:pt>
                <c:pt idx="16">
                  <c:v>3.9939408188999486</c:v>
                </c:pt>
                <c:pt idx="17">
                  <c:v>4.0640952625065436</c:v>
                </c:pt>
                <c:pt idx="18">
                  <c:v>4.1356579922771592</c:v>
                </c:pt>
                <c:pt idx="19">
                  <c:v>4.2086666508419253</c:v>
                </c:pt>
                <c:pt idx="20">
                  <c:v>4.2831601416095815</c:v>
                </c:pt>
                <c:pt idx="21">
                  <c:v>4.3591786797231871</c:v>
                </c:pt>
                <c:pt idx="22">
                  <c:v>4.436763845433731</c:v>
                </c:pt>
                <c:pt idx="23">
                  <c:v>4.5159586400235492</c:v>
                </c:pt>
                <c:pt idx="24">
                  <c:v>4.5968075444197103</c:v>
                </c:pt>
                <c:pt idx="25">
                  <c:v>4.6793565806463882</c:v>
                </c:pt>
                <c:pt idx="26">
                  <c:v>4.7636533762741928</c:v>
                </c:pt>
                <c:pt idx="27">
                  <c:v>4.8497472320348702</c:v>
                </c:pt>
                <c:pt idx="28">
                  <c:v>4.9376891927801276</c:v>
                </c:pt>
                <c:pt idx="29">
                  <c:v>5.0275321219750122</c:v>
                </c:pt>
                <c:pt idx="30">
                  <c:v>5.119330779928414</c:v>
                </c:pt>
                <c:pt idx="31">
                  <c:v>5.2131419059765562</c:v>
                </c:pt>
                <c:pt idx="32">
                  <c:v>5.3090243048491406</c:v>
                </c:pt>
                <c:pt idx="33">
                  <c:v>5.4070389374636152</c:v>
                </c:pt>
                <c:pt idx="34">
                  <c:v>5.507249016408462</c:v>
                </c:pt>
                <c:pt idx="35">
                  <c:v>5.6097201063944944</c:v>
                </c:pt>
                <c:pt idx="36">
                  <c:v>5.7145202299719129</c:v>
                </c:pt>
                <c:pt idx="37">
                  <c:v>5.8217199788305027</c:v>
                </c:pt>
                <c:pt idx="38">
                  <c:v>5.9313926310230141</c:v>
                </c:pt>
                <c:pt idx="39">
                  <c:v>6.0436142744740451</c:v>
                </c:pt>
                <c:pt idx="40">
                  <c:v>6.1584639371634182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2-4031-BD6F-512D5B63D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321200"/>
        <c:axId val="720690160"/>
      </c:scatterChart>
      <c:valAx>
        <c:axId val="719321200"/>
        <c:scaling>
          <c:orientation val="minMax"/>
          <c:max val="0.17"/>
          <c:min val="0.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0160"/>
        <c:crosses val="autoZero"/>
        <c:crossBetween val="midCat"/>
      </c:valAx>
      <c:valAx>
        <c:axId val="7206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dh/dz numerator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32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7753718285214"/>
          <c:y val="8.0308034412365115E-2"/>
          <c:w val="0.83192979002624656"/>
          <c:h val="0.74040536599591711"/>
        </c:manualLayout>
      </c:layout>
      <c:scatterChart>
        <c:scatterStyle val="lineMarker"/>
        <c:varyColors val="0"/>
        <c:ser>
          <c:idx val="0"/>
          <c:order val="0"/>
          <c:tx>
            <c:v>Taitel &amp; Barnea (1990)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V_SG_1_V_SL_1!$Q$56:$Q$300</c:f>
              <c:numCache>
                <c:formatCode>General</c:formatCode>
                <c:ptCount val="245"/>
                <c:pt idx="0">
                  <c:v>0</c:v>
                </c:pt>
                <c:pt idx="1">
                  <c:v>9.9999999999999995E-7</c:v>
                </c:pt>
                <c:pt idx="2">
                  <c:v>1.9999999999999999E-6</c:v>
                </c:pt>
                <c:pt idx="3">
                  <c:v>3.0000000000000001E-6</c:v>
                </c:pt>
                <c:pt idx="4">
                  <c:v>3.9999999999999998E-6</c:v>
                </c:pt>
                <c:pt idx="5">
                  <c:v>4.9999999999999996E-6</c:v>
                </c:pt>
                <c:pt idx="6">
                  <c:v>5.9999999999999993E-6</c:v>
                </c:pt>
                <c:pt idx="7">
                  <c:v>6.999999999999999E-6</c:v>
                </c:pt>
                <c:pt idx="8">
                  <c:v>8.1501326104545878E-6</c:v>
                </c:pt>
                <c:pt idx="9">
                  <c:v>9.5249244925034717E-6</c:v>
                </c:pt>
                <c:pt idx="10">
                  <c:v>1.1167304060702238E-5</c:v>
                </c:pt>
                <c:pt idx="11">
                  <c:v>1.3137023912243736E-5</c:v>
                </c:pt>
                <c:pt idx="12">
                  <c:v>1.5507763250633288E-5</c:v>
                </c:pt>
                <c:pt idx="13">
                  <c:v>1.8371968832088933E-5</c:v>
                </c:pt>
                <c:pt idx="14">
                  <c:v>2.1846019175923989E-5</c:v>
                </c:pt>
                <c:pt idx="15">
                  <c:v>2.6077168043981692E-5</c:v>
                </c:pt>
                <c:pt idx="16">
                  <c:v>3.1252697151198049E-5</c:v>
                </c:pt>
                <c:pt idx="17">
                  <c:v>3.7612090066765222E-5</c:v>
                </c:pt>
                <c:pt idx="18">
                  <c:v>4.5463326312712225E-5</c:v>
                </c:pt>
                <c:pt idx="19">
                  <c:v>5.520484185813743E-5</c:v>
                </c:pt>
                <c:pt idx="20">
                  <c:v>6.7355341678197652E-5</c:v>
                </c:pt>
                <c:pt idx="21">
                  <c:v>8.2594582056988452E-5</c:v>
                </c:pt>
                <c:pt idx="22">
                  <c:v>1.0181960911399402E-4</c:v>
                </c:pt>
                <c:pt idx="23">
                  <c:v>1.2622297155096216E-4</c:v>
                </c:pt>
                <c:pt idx="24">
                  <c:v>1.5740247080998126E-4</c:v>
                </c:pt>
                <c:pt idx="25">
                  <c:v>1.9751662746039444E-4</c:v>
                </c:pt>
                <c:pt idx="26">
                  <c:v>2.4950711804523537E-4</c:v>
                </c:pt>
                <c:pt idx="27">
                  <c:v>3.1742041559779262E-4</c:v>
                </c:pt>
                <c:pt idx="28">
                  <c:v>4.0687811935656332E-4</c:v>
                </c:pt>
                <c:pt idx="29">
                  <c:v>5.2577293945851595E-4</c:v>
                </c:pt>
                <c:pt idx="30">
                  <c:v>6.8531169602994784E-4</c:v>
                </c:pt>
                <c:pt idx="31">
                  <c:v>9.0159949765819568E-4</c:v>
                </c:pt>
                <c:pt idx="32">
                  <c:v>1.1980805681300485E-3</c:v>
                </c:pt>
                <c:pt idx="33">
                  <c:v>1.609356706361538E-3</c:v>
                </c:pt>
                <c:pt idx="34">
                  <c:v>2.1872587163415894E-3</c:v>
                </c:pt>
                <c:pt idx="35">
                  <c:v>3.0106684293484164E-3</c:v>
                </c:pt>
                <c:pt idx="36">
                  <c:v>4.2017026793941198E-3</c:v>
                </c:pt>
                <c:pt idx="37">
                  <c:v>5.6256363122401468E-3</c:v>
                </c:pt>
                <c:pt idx="38">
                  <c:v>8.2674210421531703E-3</c:v>
                </c:pt>
                <c:pt idx="39">
                  <c:v>1.1978781575864732E-2</c:v>
                </c:pt>
                <c:pt idx="40">
                  <c:v>1.796273219797764E-2</c:v>
                </c:pt>
                <c:pt idx="41">
                  <c:v>2.7295287142134833E-2</c:v>
                </c:pt>
                <c:pt idx="42">
                  <c:v>4.2646581980410103E-2</c:v>
                </c:pt>
                <c:pt idx="43">
                  <c:v>6.8044209731627059E-2</c:v>
                </c:pt>
                <c:pt idx="44">
                  <c:v>0.11172718624957834</c:v>
                </c:pt>
                <c:pt idx="45">
                  <c:v>0.18770247872348747</c:v>
                </c:pt>
                <c:pt idx="46">
                  <c:v>0.32475461668405303</c:v>
                </c:pt>
                <c:pt idx="47">
                  <c:v>0.57258675267684533</c:v>
                </c:pt>
                <c:pt idx="48">
                  <c:v>1.0431296462312867</c:v>
                </c:pt>
                <c:pt idx="49">
                  <c:v>1.1353011649994578</c:v>
                </c:pt>
              </c:numCache>
            </c:numRef>
          </c:xVal>
          <c:yVal>
            <c:numRef>
              <c:f>V_SG_1_V_SL_1!$T$56:$T$300</c:f>
              <c:numCache>
                <c:formatCode>General</c:formatCode>
                <c:ptCount val="245"/>
                <c:pt idx="0">
                  <c:v>0.93029680368287238</c:v>
                </c:pt>
                <c:pt idx="1">
                  <c:v>0.9263375056609463</c:v>
                </c:pt>
                <c:pt idx="2">
                  <c:v>0.92410350289481191</c:v>
                </c:pt>
                <c:pt idx="3">
                  <c:v>0.92246702056568797</c:v>
                </c:pt>
                <c:pt idx="4">
                  <c:v>0.92112545075286889</c:v>
                </c:pt>
                <c:pt idx="5">
                  <c:v>0.91996796940552472</c:v>
                </c:pt>
                <c:pt idx="6">
                  <c:v>0.91893925200966098</c:v>
                </c:pt>
                <c:pt idx="7">
                  <c:v>0.91800698533963754</c:v>
                </c:pt>
                <c:pt idx="8">
                  <c:v>0.91702734816235443</c:v>
                </c:pt>
                <c:pt idx="9">
                  <c:v>0.9159585801938982</c:v>
                </c:pt>
                <c:pt idx="10">
                  <c:v>0.91479625559011313</c:v>
                </c:pt>
                <c:pt idx="11">
                  <c:v>0.91353048339815646</c:v>
                </c:pt>
                <c:pt idx="12">
                  <c:v>0.91215088532597044</c:v>
                </c:pt>
                <c:pt idx="13">
                  <c:v>0.91064585001688003</c:v>
                </c:pt>
                <c:pt idx="14">
                  <c:v>0.90900246739993606</c:v>
                </c:pt>
                <c:pt idx="15">
                  <c:v>0.90720635607175415</c:v>
                </c:pt>
                <c:pt idx="16">
                  <c:v>0.90524147856173309</c:v>
                </c:pt>
                <c:pt idx="17">
                  <c:v>0.90308992791247966</c:v>
                </c:pt>
                <c:pt idx="18">
                  <c:v>0.90073168239924084</c:v>
                </c:pt>
                <c:pt idx="19">
                  <c:v>0.89814432232808461</c:v>
                </c:pt>
                <c:pt idx="20">
                  <c:v>0.89530270197348261</c:v>
                </c:pt>
                <c:pt idx="21">
                  <c:v>0.89217856822269714</c:v>
                </c:pt>
                <c:pt idx="22">
                  <c:v>0.88874011591112845</c:v>
                </c:pt>
                <c:pt idx="23">
                  <c:v>0.88495146788830703</c:v>
                </c:pt>
                <c:pt idx="24">
                  <c:v>0.88077206574924116</c:v>
                </c:pt>
                <c:pt idx="25">
                  <c:v>0.87615595477184927</c:v>
                </c:pt>
                <c:pt idx="26">
                  <c:v>0.87105094411999118</c:v>
                </c:pt>
                <c:pt idx="27">
                  <c:v>0.86539762083250626</c:v>
                </c:pt>
                <c:pt idx="28">
                  <c:v>0.8591281939956712</c:v>
                </c:pt>
                <c:pt idx="29">
                  <c:v>0.85216514411116695</c:v>
                </c:pt>
                <c:pt idx="30">
                  <c:v>0.84441965326912749</c:v>
                </c:pt>
                <c:pt idx="31">
                  <c:v>0.8357897958054098</c:v>
                </c:pt>
                <c:pt idx="32">
                  <c:v>0.82615847988380908</c:v>
                </c:pt>
                <c:pt idx="33">
                  <c:v>0.8153911530387663</c:v>
                </c:pt>
                <c:pt idx="34">
                  <c:v>0.80333332837909754</c:v>
                </c:pt>
                <c:pt idx="35">
                  <c:v>0.78980806865897468</c:v>
                </c:pt>
                <c:pt idx="36">
                  <c:v>0.77461508690290759</c:v>
                </c:pt>
                <c:pt idx="37">
                  <c:v>0.76038690457725777</c:v>
                </c:pt>
                <c:pt idx="38">
                  <c:v>0.74027333028292353</c:v>
                </c:pt>
                <c:pt idx="39">
                  <c:v>0.71945185286861368</c:v>
                </c:pt>
                <c:pt idx="40">
                  <c:v>0.69510299977692602</c:v>
                </c:pt>
                <c:pt idx="41">
                  <c:v>0.66827742889075359</c:v>
                </c:pt>
                <c:pt idx="42">
                  <c:v>0.63793671515432082</c:v>
                </c:pt>
                <c:pt idx="43">
                  <c:v>0.60451895949480172</c:v>
                </c:pt>
                <c:pt idx="44">
                  <c:v>0.56764407327826527</c:v>
                </c:pt>
                <c:pt idx="45">
                  <c:v>0.52819919103708846</c:v>
                </c:pt>
                <c:pt idx="46">
                  <c:v>0.48656332837244431</c:v>
                </c:pt>
                <c:pt idx="47">
                  <c:v>0.44490630075061705</c:v>
                </c:pt>
                <c:pt idx="48">
                  <c:v>0.40422770455153728</c:v>
                </c:pt>
                <c:pt idx="49">
                  <c:v>0.3988654244970895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18-4D01-A043-0B9283F8FA47}"/>
            </c:ext>
          </c:extLst>
        </c:ser>
        <c:ser>
          <c:idx val="1"/>
          <c:order val="1"/>
          <c:tx>
            <c:v>Dukler &amp; Hubbard, 1975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2"/>
                </a:solidFill>
              </a:ln>
              <a:effectLst/>
            </c:spPr>
          </c:marker>
          <c:xVal>
            <c:numRef>
              <c:f>V_SG_1_V_SL_1!$J$56:$J$228</c:f>
              <c:numCache>
                <c:formatCode>General</c:formatCode>
                <c:ptCount val="173"/>
                <c:pt idx="0">
                  <c:v>0</c:v>
                </c:pt>
                <c:pt idx="1">
                  <c:v>1.0000000000000001E-5</c:v>
                </c:pt>
                <c:pt idx="2">
                  <c:v>2.0000000000000002E-5</c:v>
                </c:pt>
                <c:pt idx="3">
                  <c:v>3.0000000000000004E-5</c:v>
                </c:pt>
                <c:pt idx="4">
                  <c:v>4.0000000000000003E-5</c:v>
                </c:pt>
                <c:pt idx="5">
                  <c:v>5.195500244430754E-5</c:v>
                </c:pt>
                <c:pt idx="6">
                  <c:v>6.8086429472194459E-5</c:v>
                </c:pt>
                <c:pt idx="7">
                  <c:v>8.9593003728094271E-5</c:v>
                </c:pt>
                <c:pt idx="8">
                  <c:v>1.1856290179981555E-4</c:v>
                </c:pt>
                <c:pt idx="9">
                  <c:v>1.578625274213005E-4</c:v>
                </c:pt>
                <c:pt idx="10">
                  <c:v>2.1160418992371879E-4</c:v>
                </c:pt>
                <c:pt idx="11">
                  <c:v>2.8570752707966557E-4</c:v>
                </c:pt>
                <c:pt idx="12">
                  <c:v>3.887833240685241E-4</c:v>
                </c:pt>
                <c:pt idx="13">
                  <c:v>5.3348124647134977E-4</c:v>
                </c:pt>
                <c:pt idx="14">
                  <c:v>7.3858241244859697E-4</c:v>
                </c:pt>
                <c:pt idx="15">
                  <c:v>1.032285082460871E-3</c:v>
                </c:pt>
                <c:pt idx="16">
                  <c:v>1.4574323323069446E-3</c:v>
                </c:pt>
                <c:pt idx="17">
                  <c:v>2.0799462889176568E-3</c:v>
                </c:pt>
                <c:pt idx="18">
                  <c:v>3.0026424812728877E-3</c:v>
                </c:pt>
                <c:pt idx="19">
                  <c:v>4.3882309669390504E-3</c:v>
                </c:pt>
                <c:pt idx="20">
                  <c:v>6.498316145410743E-3</c:v>
                </c:pt>
                <c:pt idx="21">
                  <c:v>9.7608981114798363E-3</c:v>
                </c:pt>
                <c:pt idx="22">
                  <c:v>1.4890052461646919E-2</c:v>
                </c:pt>
                <c:pt idx="23">
                  <c:v>2.3104483541092749E-2</c:v>
                </c:pt>
                <c:pt idx="24">
                  <c:v>3.654231702082239E-2</c:v>
                </c:pt>
                <c:pt idx="25">
                  <c:v>5.9092148775029496E-2</c:v>
                </c:pt>
                <c:pt idx="26">
                  <c:v>9.8201373805843206E-2</c:v>
                </c:pt>
                <c:pt idx="27">
                  <c:v>0.16938759966271899</c:v>
                </c:pt>
                <c:pt idx="28">
                  <c:v>0.31060295260499893</c:v>
                </c:pt>
                <c:pt idx="29">
                  <c:v>0.64510892618915505</c:v>
                </c:pt>
                <c:pt idx="30">
                  <c:v>1.121800438630479</c:v>
                </c:pt>
                <c:pt idx="31">
                  <c:v>1.1353011649994578</c:v>
                </c:pt>
              </c:numCache>
            </c:numRef>
          </c:xVal>
          <c:yVal>
            <c:numRef>
              <c:f>V_SG_1_V_SL_1!$L$56:$L$228</c:f>
              <c:numCache>
                <c:formatCode>General</c:formatCode>
                <c:ptCount val="173"/>
                <c:pt idx="0">
                  <c:v>0.93029680368287238</c:v>
                </c:pt>
                <c:pt idx="1">
                  <c:v>0.92783138549502564</c:v>
                </c:pt>
                <c:pt idx="2">
                  <c:v>0.92660985470663892</c:v>
                </c:pt>
                <c:pt idx="3">
                  <c:v>0.92565078783705268</c:v>
                </c:pt>
                <c:pt idx="4">
                  <c:v>0.92483479418443892</c:v>
                </c:pt>
                <c:pt idx="5">
                  <c:v>0.92397964083766571</c:v>
                </c:pt>
                <c:pt idx="6">
                  <c:v>0.92296594000515209</c:v>
                </c:pt>
                <c:pt idx="7">
                  <c:v>0.92178369424416573</c:v>
                </c:pt>
                <c:pt idx="8">
                  <c:v>0.92039533826394893</c:v>
                </c:pt>
                <c:pt idx="9">
                  <c:v>0.91875958546887215</c:v>
                </c:pt>
                <c:pt idx="10">
                  <c:v>0.91682454810884784</c:v>
                </c:pt>
                <c:pt idx="11">
                  <c:v>0.91452613948456329</c:v>
                </c:pt>
                <c:pt idx="12">
                  <c:v>0.91178459442091897</c:v>
                </c:pt>
                <c:pt idx="13">
                  <c:v>0.90850028408433681</c:v>
                </c:pt>
                <c:pt idx="14">
                  <c:v>0.90454826776137198</c:v>
                </c:pt>
                <c:pt idx="15">
                  <c:v>0.89977129666551159</c:v>
                </c:pt>
                <c:pt idx="16">
                  <c:v>0.89397083545871125</c:v>
                </c:pt>
                <c:pt idx="17">
                  <c:v>0.88689561071005552</c:v>
                </c:pt>
                <c:pt idx="18">
                  <c:v>0.87822715092243631</c:v>
                </c:pt>
                <c:pt idx="19">
                  <c:v>0.86756182378975566</c:v>
                </c:pt>
                <c:pt idx="20">
                  <c:v>0.85438908694297255</c:v>
                </c:pt>
                <c:pt idx="21">
                  <c:v>0.83806619264363702</c:v>
                </c:pt>
                <c:pt idx="22">
                  <c:v>0.8177906219883142</c:v>
                </c:pt>
                <c:pt idx="23">
                  <c:v>0.79257326376698711</c:v>
                </c:pt>
                <c:pt idx="24">
                  <c:v>0.76121772120734199</c:v>
                </c:pt>
                <c:pt idx="25">
                  <c:v>0.72231277746439448</c:v>
                </c:pt>
                <c:pt idx="26">
                  <c:v>0.67423928575953251</c:v>
                </c:pt>
                <c:pt idx="27">
                  <c:v>0.61514846741562323</c:v>
                </c:pt>
                <c:pt idx="28">
                  <c:v>0.54263966353792992</c:v>
                </c:pt>
                <c:pt idx="29">
                  <c:v>0.45367705500193439</c:v>
                </c:pt>
                <c:pt idx="30">
                  <c:v>0.39359935536242852</c:v>
                </c:pt>
                <c:pt idx="31">
                  <c:v>0.39243586709469502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8-4D01-A043-0B9283F8F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692960"/>
        <c:axId val="720693520"/>
      </c:scatterChart>
      <c:valAx>
        <c:axId val="72069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[m]</a:t>
                </a:r>
              </a:p>
            </c:rich>
          </c:tx>
          <c:layout>
            <c:manualLayout>
              <c:xMode val="edge"/>
              <c:yMode val="edge"/>
              <c:x val="0.50774015748031498"/>
              <c:y val="0.91828703703703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3520"/>
        <c:crosses val="autoZero"/>
        <c:crossBetween val="midCat"/>
      </c:valAx>
      <c:valAx>
        <c:axId val="7206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layout>
            <c:manualLayout>
              <c:xMode val="edge"/>
              <c:yMode val="edge"/>
              <c:x val="2.208223972003499E-3"/>
              <c:y val="0.364005905511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2960"/>
        <c:crossesAt val="-16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491163604549429"/>
          <c:y val="0.10243000874890641"/>
          <c:w val="0.4735352143482065"/>
          <c:h val="0.18988043161271506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2866022213522348"/>
          <c:y val="0.4657798137630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56856109408826"/>
          <c:y val="2.9285313493185302E-2"/>
          <c:w val="0.26772010329160489"/>
          <c:h val="0.7786508528008361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x"/>
            <c:size val="14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V_SG_1_V_SL_1!$D$5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V_SG_1_V_SL_1!$C$5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A6-4899-A913-60C0E35DF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695760"/>
        <c:axId val="720696320"/>
      </c:scatterChart>
      <c:valAx>
        <c:axId val="720695760"/>
        <c:scaling>
          <c:logBase val="10"/>
          <c:orientation val="minMax"/>
          <c:max val="100"/>
          <c:min val="1.0000000000000002E-2"/>
        </c:scaling>
        <c:delete val="0"/>
        <c:axPos val="b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6320"/>
        <c:crossesAt val="1.0000000000000002E-3"/>
        <c:crossBetween val="midCat"/>
      </c:valAx>
      <c:valAx>
        <c:axId val="720696320"/>
        <c:scaling>
          <c:logBase val="10"/>
          <c:orientation val="minMax"/>
          <c:max val="10"/>
          <c:min val="1.0000000000000002E-3"/>
        </c:scaling>
        <c:delete val="0"/>
        <c:axPos val="l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576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V_SG_1_V_SL_1!$Q$7:$Q$33</c:f>
              <c:numCache>
                <c:formatCode>General</c:formatCode>
                <c:ptCount val="27"/>
                <c:pt idx="0">
                  <c:v>1</c:v>
                </c:pt>
                <c:pt idx="1">
                  <c:v>0.99950000000000006</c:v>
                </c:pt>
                <c:pt idx="2">
                  <c:v>0.99900000000000011</c:v>
                </c:pt>
                <c:pt idx="3">
                  <c:v>0.99850000000000017</c:v>
                </c:pt>
                <c:pt idx="4">
                  <c:v>0.99800000000000022</c:v>
                </c:pt>
                <c:pt idx="5">
                  <c:v>0.99750000000000028</c:v>
                </c:pt>
                <c:pt idx="6">
                  <c:v>0.99700000000000033</c:v>
                </c:pt>
                <c:pt idx="7">
                  <c:v>0.99650000000000039</c:v>
                </c:pt>
                <c:pt idx="8">
                  <c:v>0.99600000000000044</c:v>
                </c:pt>
                <c:pt idx="9">
                  <c:v>0.9955000000000005</c:v>
                </c:pt>
                <c:pt idx="10">
                  <c:v>0.99500000000000055</c:v>
                </c:pt>
                <c:pt idx="11">
                  <c:v>0.99450000000000061</c:v>
                </c:pt>
                <c:pt idx="12">
                  <c:v>0.99400000000000066</c:v>
                </c:pt>
                <c:pt idx="13">
                  <c:v>0.99350000000000072</c:v>
                </c:pt>
                <c:pt idx="14">
                  <c:v>0.99300000000000077</c:v>
                </c:pt>
                <c:pt idx="15">
                  <c:v>0.99250000000000083</c:v>
                </c:pt>
                <c:pt idx="16">
                  <c:v>0.99200000000000088</c:v>
                </c:pt>
                <c:pt idx="17">
                  <c:v>0.99150000000000094</c:v>
                </c:pt>
                <c:pt idx="18">
                  <c:v>0.99100000000000099</c:v>
                </c:pt>
                <c:pt idx="19">
                  <c:v>0.99050000000000105</c:v>
                </c:pt>
                <c:pt idx="20">
                  <c:v>0.9900000000000011</c:v>
                </c:pt>
                <c:pt idx="21">
                  <c:v>0.98950000000000116</c:v>
                </c:pt>
                <c:pt idx="22">
                  <c:v>0.98900000000000121</c:v>
                </c:pt>
                <c:pt idx="23">
                  <c:v>0.98850000000000127</c:v>
                </c:pt>
                <c:pt idx="24">
                  <c:v>0.98800000000000132</c:v>
                </c:pt>
                <c:pt idx="25">
                  <c:v>0.98750000000000138</c:v>
                </c:pt>
                <c:pt idx="26">
                  <c:v>0.98700000000000143</c:v>
                </c:pt>
              </c:numCache>
            </c:numRef>
          </c:xVal>
          <c:yVal>
            <c:numRef>
              <c:f>V_SG_1_V_SL_1!$R$7:$R$33</c:f>
              <c:numCache>
                <c:formatCode>General</c:formatCode>
                <c:ptCount val="27"/>
                <c:pt idx="0">
                  <c:v>-11.172899914099824</c:v>
                </c:pt>
                <c:pt idx="1">
                  <c:v>-10.271800805645929</c:v>
                </c:pt>
                <c:pt idx="2">
                  <c:v>-9.8984838942020144</c:v>
                </c:pt>
                <c:pt idx="3">
                  <c:v>-9.6119487454688848</c:v>
                </c:pt>
                <c:pt idx="4">
                  <c:v>-9.3703045709725181</c:v>
                </c:pt>
                <c:pt idx="5">
                  <c:v>-9.1573251338983894</c:v>
                </c:pt>
                <c:pt idx="6">
                  <c:v>-8.9646885523103546</c:v>
                </c:pt>
                <c:pt idx="7">
                  <c:v>-8.7874512084094221</c:v>
                </c:pt>
                <c:pt idx="8">
                  <c:v>-8.6223920423543614</c:v>
                </c:pt>
                <c:pt idx="9">
                  <c:v>-8.4672736885412743</c:v>
                </c:pt>
                <c:pt idx="10">
                  <c:v>-8.3204671301000523</c:v>
                </c:pt>
                <c:pt idx="11">
                  <c:v>-8.1807425892427652</c:v>
                </c:pt>
                <c:pt idx="12">
                  <c:v>-8.0471446510407336</c:v>
                </c:pt>
                <c:pt idx="13">
                  <c:v>-7.9189135252407894</c:v>
                </c:pt>
                <c:pt idx="14">
                  <c:v>-7.7954331784819173</c:v>
                </c:pt>
                <c:pt idx="15">
                  <c:v>-7.6761959129085158</c:v>
                </c:pt>
                <c:pt idx="16">
                  <c:v>-7.5607774337847573</c:v>
                </c:pt>
                <c:pt idx="17">
                  <c:v>-7.4488188425692821</c:v>
                </c:pt>
                <c:pt idx="18">
                  <c:v>-7.3400133400389587</c:v>
                </c:pt>
                <c:pt idx="19">
                  <c:v>-7.2340962158616051</c:v>
                </c:pt>
                <c:pt idx="20">
                  <c:v>-7.1308371832036359</c:v>
                </c:pt>
                <c:pt idx="21">
                  <c:v>-7.0300344199766203</c:v>
                </c:pt>
                <c:pt idx="22">
                  <c:v>-6.9315098740855676</c:v>
                </c:pt>
                <c:pt idx="23">
                  <c:v>-6.8351055196412975</c:v>
                </c:pt>
                <c:pt idx="24">
                  <c:v>-6.7406803387932896</c:v>
                </c:pt>
                <c:pt idx="25">
                  <c:v>-6.6481078643525242</c:v>
                </c:pt>
                <c:pt idx="26">
                  <c:v>-6.5572741608776299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0-40BC-9A9B-B80ACF49D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698560"/>
        <c:axId val="720699120"/>
      </c:scatterChart>
      <c:valAx>
        <c:axId val="7206985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9120"/>
        <c:crosses val="autoZero"/>
        <c:crossBetween val="midCat"/>
      </c:valAx>
      <c:valAx>
        <c:axId val="72069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dh/dz denominator</a:t>
                </a:r>
              </a:p>
            </c:rich>
          </c:tx>
          <c:layout>
            <c:manualLayout>
              <c:xMode val="edge"/>
              <c:yMode val="edge"/>
              <c:x val="1.1111111111111112E-2"/>
              <c:y val="0.207985928842228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69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1239479440069993"/>
                  <c:y val="-0.2035589822105570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V_SG_1_V_SL_1!$A$78:$A$79</c:f>
              <c:numCache>
                <c:formatCode>General</c:formatCode>
                <c:ptCount val="2"/>
                <c:pt idx="0">
                  <c:v>0.38100000000000001</c:v>
                </c:pt>
                <c:pt idx="1">
                  <c:v>0.141106652</c:v>
                </c:pt>
              </c:numCache>
            </c:numRef>
          </c:xVal>
          <c:yVal>
            <c:numRef>
              <c:f>V_SG_1_V_SL_1!$C$78:$C$79</c:f>
              <c:numCache>
                <c:formatCode>General</c:formatCode>
                <c:ptCount val="2"/>
                <c:pt idx="0">
                  <c:v>1.2097885985625885</c:v>
                </c:pt>
                <c:pt idx="1">
                  <c:v>1.0098189476467287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44-45E3-805C-55F8074D8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01360"/>
        <c:axId val="720701920"/>
      </c:scatterChart>
      <c:valAx>
        <c:axId val="72070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1920"/>
        <c:crosses val="autoZero"/>
        <c:crossBetween val="midCat"/>
      </c:valAx>
      <c:valAx>
        <c:axId val="7207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2866022213522348"/>
          <c:y val="0.4657798137630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271941103970308"/>
          <c:y val="5.3084282079617587E-2"/>
          <c:w val="0.2440607538898418"/>
          <c:h val="0.71065379969674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x"/>
            <c:size val="14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V_SG_1_V_SL_1!$D$5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V_SG_1_V_SL_1!$C$5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7F-4637-8E0D-40FC9956E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04160"/>
        <c:axId val="720704720"/>
      </c:scatterChart>
      <c:valAx>
        <c:axId val="720704160"/>
        <c:scaling>
          <c:logBase val="10"/>
          <c:orientation val="minMax"/>
          <c:max val="100"/>
          <c:min val="1.0000000000000002E-2"/>
        </c:scaling>
        <c:delete val="0"/>
        <c:axPos val="b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4720"/>
        <c:crossesAt val="1.0000000000000002E-3"/>
        <c:crossBetween val="midCat"/>
      </c:valAx>
      <c:valAx>
        <c:axId val="720704720"/>
        <c:scaling>
          <c:logBase val="10"/>
          <c:orientation val="minMax"/>
          <c:max val="10"/>
          <c:min val="1.0000000000000002E-3"/>
        </c:scaling>
        <c:delete val="0"/>
        <c:axPos val="l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416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256174708930614"/>
          <c:y val="4.1666666666666664E-2"/>
          <c:w val="0.73581432128676239"/>
          <c:h val="0.77096754951085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xVal>
            <c:numRef>
              <c:f>V_SG_1_V_SL_1!$AA$56:$AA$731</c:f>
              <c:numCache>
                <c:formatCode>General</c:formatCode>
                <c:ptCount val="676"/>
                <c:pt idx="0">
                  <c:v>30.105662832572801</c:v>
                </c:pt>
                <c:pt idx="1">
                  <c:v>28.9626628325728</c:v>
                </c:pt>
                <c:pt idx="2">
                  <c:v>28.9626628325728</c:v>
                </c:pt>
                <c:pt idx="3">
                  <c:v>28.962661832572802</c:v>
                </c:pt>
                <c:pt idx="4">
                  <c:v>28.962660832572801</c:v>
                </c:pt>
                <c:pt idx="5">
                  <c:v>28.9626598325728</c:v>
                </c:pt>
                <c:pt idx="6">
                  <c:v>28.962658832572799</c:v>
                </c:pt>
                <c:pt idx="7">
                  <c:v>28.962657832572802</c:v>
                </c:pt>
                <c:pt idx="8">
                  <c:v>28.962656832572801</c:v>
                </c:pt>
                <c:pt idx="9">
                  <c:v>28.9626558325728</c:v>
                </c:pt>
                <c:pt idx="10">
                  <c:v>28.962654682440192</c:v>
                </c:pt>
                <c:pt idx="11">
                  <c:v>28.96265330764831</c:v>
                </c:pt>
                <c:pt idx="12">
                  <c:v>28.962651665268741</c:v>
                </c:pt>
                <c:pt idx="13">
                  <c:v>28.96264969554889</c:v>
                </c:pt>
                <c:pt idx="14">
                  <c:v>28.962647324809549</c:v>
                </c:pt>
                <c:pt idx="15">
                  <c:v>28.962644460603968</c:v>
                </c:pt>
                <c:pt idx="16">
                  <c:v>28.962640986553623</c:v>
                </c:pt>
                <c:pt idx="17">
                  <c:v>28.962636755404755</c:v>
                </c:pt>
                <c:pt idx="18">
                  <c:v>28.962631579875648</c:v>
                </c:pt>
                <c:pt idx="19">
                  <c:v>28.962625220482735</c:v>
                </c:pt>
                <c:pt idx="20">
                  <c:v>28.962617369246487</c:v>
                </c:pt>
                <c:pt idx="21">
                  <c:v>28.962607627730943</c:v>
                </c:pt>
                <c:pt idx="22">
                  <c:v>28.962595477231122</c:v>
                </c:pt>
                <c:pt idx="23">
                  <c:v>28.962580237990743</c:v>
                </c:pt>
                <c:pt idx="24">
                  <c:v>28.962561012963686</c:v>
                </c:pt>
                <c:pt idx="25">
                  <c:v>28.962536609601251</c:v>
                </c:pt>
                <c:pt idx="26">
                  <c:v>28.962505430101992</c:v>
                </c:pt>
                <c:pt idx="27">
                  <c:v>28.962465315945341</c:v>
                </c:pt>
                <c:pt idx="28">
                  <c:v>28.962413325454754</c:v>
                </c:pt>
                <c:pt idx="29">
                  <c:v>28.962345412157202</c:v>
                </c:pt>
                <c:pt idx="30">
                  <c:v>28.962255954453443</c:v>
                </c:pt>
                <c:pt idx="31">
                  <c:v>28.962137059633342</c:v>
                </c:pt>
                <c:pt idx="32">
                  <c:v>28.961977520876772</c:v>
                </c:pt>
                <c:pt idx="33">
                  <c:v>28.961761233075144</c:v>
                </c:pt>
                <c:pt idx="34">
                  <c:v>28.96146475200467</c:v>
                </c:pt>
                <c:pt idx="35">
                  <c:v>28.961053475866439</c:v>
                </c:pt>
                <c:pt idx="36">
                  <c:v>28.96047557385646</c:v>
                </c:pt>
                <c:pt idx="37">
                  <c:v>28.959652164143453</c:v>
                </c:pt>
                <c:pt idx="38">
                  <c:v>28.958461129893408</c:v>
                </c:pt>
                <c:pt idx="39">
                  <c:v>28.957037196260561</c:v>
                </c:pt>
                <c:pt idx="40">
                  <c:v>28.954395411530648</c:v>
                </c:pt>
                <c:pt idx="41">
                  <c:v>28.950684050996937</c:v>
                </c:pt>
                <c:pt idx="42">
                  <c:v>28.944700100374824</c:v>
                </c:pt>
                <c:pt idx="43">
                  <c:v>28.935367545430665</c:v>
                </c:pt>
                <c:pt idx="44">
                  <c:v>28.92001625059239</c:v>
                </c:pt>
                <c:pt idx="45">
                  <c:v>28.894618622841172</c:v>
                </c:pt>
                <c:pt idx="46">
                  <c:v>28.850935646323222</c:v>
                </c:pt>
                <c:pt idx="47">
                  <c:v>28.774960353849313</c:v>
                </c:pt>
                <c:pt idx="48">
                  <c:v>28.637908215888746</c:v>
                </c:pt>
                <c:pt idx="49">
                  <c:v>28.390076079895955</c:v>
                </c:pt>
                <c:pt idx="50">
                  <c:v>27.919533186341514</c:v>
                </c:pt>
                <c:pt idx="51">
                  <c:v>27.827361667573342</c:v>
                </c:pt>
                <c:pt idx="52">
                  <c:v>27.827361667573342</c:v>
                </c:pt>
                <c:pt idx="53">
                  <c:v>26.684361667573341</c:v>
                </c:pt>
                <c:pt idx="54">
                  <c:v>26.684361667573341</c:v>
                </c:pt>
                <c:pt idx="55">
                  <c:v>26.684360667573344</c:v>
                </c:pt>
                <c:pt idx="56">
                  <c:v>26.684359667573343</c:v>
                </c:pt>
                <c:pt idx="57">
                  <c:v>26.684358667573342</c:v>
                </c:pt>
                <c:pt idx="58">
                  <c:v>26.684357667573341</c:v>
                </c:pt>
                <c:pt idx="59">
                  <c:v>26.684356667573343</c:v>
                </c:pt>
                <c:pt idx="60">
                  <c:v>26.684355667573342</c:v>
                </c:pt>
                <c:pt idx="61">
                  <c:v>26.684354667573341</c:v>
                </c:pt>
                <c:pt idx="62">
                  <c:v>26.684353517440734</c:v>
                </c:pt>
                <c:pt idx="63">
                  <c:v>26.684352142648851</c:v>
                </c:pt>
                <c:pt idx="64">
                  <c:v>26.684350500269282</c:v>
                </c:pt>
                <c:pt idx="65">
                  <c:v>26.684348530549428</c:v>
                </c:pt>
                <c:pt idx="66">
                  <c:v>26.68434615981009</c:v>
                </c:pt>
                <c:pt idx="67">
                  <c:v>26.68434329560451</c:v>
                </c:pt>
                <c:pt idx="68">
                  <c:v>26.684339821554168</c:v>
                </c:pt>
                <c:pt idx="69">
                  <c:v>26.684335590405297</c:v>
                </c:pt>
                <c:pt idx="70">
                  <c:v>26.684330414876193</c:v>
                </c:pt>
                <c:pt idx="71">
                  <c:v>26.684324055483277</c:v>
                </c:pt>
                <c:pt idx="72">
                  <c:v>26.684316204247029</c:v>
                </c:pt>
                <c:pt idx="73">
                  <c:v>26.684306462731485</c:v>
                </c:pt>
                <c:pt idx="74">
                  <c:v>26.684294312231664</c:v>
                </c:pt>
                <c:pt idx="75">
                  <c:v>26.684279072991284</c:v>
                </c:pt>
                <c:pt idx="76">
                  <c:v>26.684259847964228</c:v>
                </c:pt>
                <c:pt idx="77">
                  <c:v>26.684235444601793</c:v>
                </c:pt>
                <c:pt idx="78">
                  <c:v>26.684204265102533</c:v>
                </c:pt>
                <c:pt idx="79">
                  <c:v>26.684164150945882</c:v>
                </c:pt>
                <c:pt idx="80">
                  <c:v>26.684112160455296</c:v>
                </c:pt>
                <c:pt idx="81">
                  <c:v>26.684044247157743</c:v>
                </c:pt>
                <c:pt idx="82">
                  <c:v>26.683954789453985</c:v>
                </c:pt>
                <c:pt idx="83">
                  <c:v>26.683835894633884</c:v>
                </c:pt>
                <c:pt idx="84">
                  <c:v>26.683676355877314</c:v>
                </c:pt>
                <c:pt idx="85">
                  <c:v>26.683460068075686</c:v>
                </c:pt>
                <c:pt idx="86">
                  <c:v>26.683163587005211</c:v>
                </c:pt>
                <c:pt idx="87">
                  <c:v>26.682752310866981</c:v>
                </c:pt>
                <c:pt idx="88">
                  <c:v>26.682174408857001</c:v>
                </c:pt>
                <c:pt idx="89">
                  <c:v>26.681350999143994</c:v>
                </c:pt>
                <c:pt idx="90">
                  <c:v>26.680159964893949</c:v>
                </c:pt>
                <c:pt idx="91">
                  <c:v>26.678736031261103</c:v>
                </c:pt>
                <c:pt idx="92">
                  <c:v>26.676094246531189</c:v>
                </c:pt>
                <c:pt idx="93">
                  <c:v>26.672382885997479</c:v>
                </c:pt>
                <c:pt idx="94">
                  <c:v>26.666398935375366</c:v>
                </c:pt>
                <c:pt idx="95">
                  <c:v>26.657066380431207</c:v>
                </c:pt>
                <c:pt idx="96">
                  <c:v>26.641715085592931</c:v>
                </c:pt>
                <c:pt idx="97">
                  <c:v>26.616317457841717</c:v>
                </c:pt>
                <c:pt idx="98">
                  <c:v>26.572634481323764</c:v>
                </c:pt>
                <c:pt idx="99">
                  <c:v>26.496659188849854</c:v>
                </c:pt>
                <c:pt idx="100">
                  <c:v>26.359607050889288</c:v>
                </c:pt>
                <c:pt idx="101">
                  <c:v>26.111774914896497</c:v>
                </c:pt>
                <c:pt idx="102">
                  <c:v>25.641232021342056</c:v>
                </c:pt>
                <c:pt idx="103">
                  <c:v>25.549060502573884</c:v>
                </c:pt>
                <c:pt idx="104">
                  <c:v>25.549060502573887</c:v>
                </c:pt>
                <c:pt idx="105">
                  <c:v>24.406060502573887</c:v>
                </c:pt>
                <c:pt idx="106">
                  <c:v>24.406060502573887</c:v>
                </c:pt>
                <c:pt idx="107">
                  <c:v>24.406059502573889</c:v>
                </c:pt>
                <c:pt idx="108">
                  <c:v>24.406058502573888</c:v>
                </c:pt>
                <c:pt idx="109">
                  <c:v>24.406057502573887</c:v>
                </c:pt>
                <c:pt idx="110">
                  <c:v>24.406056502573886</c:v>
                </c:pt>
                <c:pt idx="111">
                  <c:v>24.406055502573889</c:v>
                </c:pt>
                <c:pt idx="112">
                  <c:v>24.406054502573888</c:v>
                </c:pt>
                <c:pt idx="113">
                  <c:v>24.406053502573887</c:v>
                </c:pt>
                <c:pt idx="114">
                  <c:v>24.406052352441279</c:v>
                </c:pt>
                <c:pt idx="115">
                  <c:v>24.406050977649397</c:v>
                </c:pt>
                <c:pt idx="116">
                  <c:v>24.406049335269827</c:v>
                </c:pt>
                <c:pt idx="117">
                  <c:v>24.406047365549973</c:v>
                </c:pt>
                <c:pt idx="118">
                  <c:v>24.406044994810635</c:v>
                </c:pt>
                <c:pt idx="119">
                  <c:v>24.406042130605055</c:v>
                </c:pt>
                <c:pt idx="120">
                  <c:v>24.406038656554713</c:v>
                </c:pt>
                <c:pt idx="121">
                  <c:v>24.406034425405842</c:v>
                </c:pt>
                <c:pt idx="122">
                  <c:v>24.406029249876738</c:v>
                </c:pt>
                <c:pt idx="123">
                  <c:v>24.406022890483822</c:v>
                </c:pt>
                <c:pt idx="124">
                  <c:v>24.406015039247574</c:v>
                </c:pt>
                <c:pt idx="125">
                  <c:v>24.40600529773203</c:v>
                </c:pt>
                <c:pt idx="126">
                  <c:v>24.405993147232209</c:v>
                </c:pt>
                <c:pt idx="127">
                  <c:v>24.405977907991829</c:v>
                </c:pt>
                <c:pt idx="128">
                  <c:v>24.405958682964773</c:v>
                </c:pt>
                <c:pt idx="129">
                  <c:v>24.405934279602338</c:v>
                </c:pt>
                <c:pt idx="130">
                  <c:v>24.405903100103078</c:v>
                </c:pt>
                <c:pt idx="131">
                  <c:v>24.405862985946428</c:v>
                </c:pt>
                <c:pt idx="132">
                  <c:v>24.405810995455841</c:v>
                </c:pt>
                <c:pt idx="133">
                  <c:v>24.405743082158288</c:v>
                </c:pt>
                <c:pt idx="134">
                  <c:v>24.40565362445453</c:v>
                </c:pt>
                <c:pt idx="135">
                  <c:v>24.405534729634429</c:v>
                </c:pt>
                <c:pt idx="136">
                  <c:v>24.405375190877859</c:v>
                </c:pt>
                <c:pt idx="137">
                  <c:v>24.405158903076231</c:v>
                </c:pt>
                <c:pt idx="138">
                  <c:v>24.404862422005756</c:v>
                </c:pt>
                <c:pt idx="139">
                  <c:v>24.404451145867526</c:v>
                </c:pt>
                <c:pt idx="140">
                  <c:v>24.403873243857547</c:v>
                </c:pt>
                <c:pt idx="141">
                  <c:v>24.403049834144539</c:v>
                </c:pt>
                <c:pt idx="142">
                  <c:v>24.401858799894494</c:v>
                </c:pt>
                <c:pt idx="143">
                  <c:v>24.400434866261648</c:v>
                </c:pt>
                <c:pt idx="144">
                  <c:v>24.397793081531734</c:v>
                </c:pt>
                <c:pt idx="145">
                  <c:v>24.394081720998024</c:v>
                </c:pt>
                <c:pt idx="146">
                  <c:v>24.388097770375911</c:v>
                </c:pt>
                <c:pt idx="147">
                  <c:v>24.378765215431752</c:v>
                </c:pt>
                <c:pt idx="148">
                  <c:v>24.363413920593477</c:v>
                </c:pt>
                <c:pt idx="149">
                  <c:v>24.338016292842262</c:v>
                </c:pt>
                <c:pt idx="150">
                  <c:v>24.294333316324309</c:v>
                </c:pt>
                <c:pt idx="151">
                  <c:v>24.218358023850399</c:v>
                </c:pt>
                <c:pt idx="152">
                  <c:v>24.081305885889833</c:v>
                </c:pt>
                <c:pt idx="153">
                  <c:v>23.833473749897042</c:v>
                </c:pt>
                <c:pt idx="154">
                  <c:v>23.362930856342601</c:v>
                </c:pt>
                <c:pt idx="155">
                  <c:v>23.270759337574429</c:v>
                </c:pt>
                <c:pt idx="156">
                  <c:v>23.270759337574429</c:v>
                </c:pt>
                <c:pt idx="157">
                  <c:v>22.127759337574428</c:v>
                </c:pt>
                <c:pt idx="158">
                  <c:v>22.127759337574428</c:v>
                </c:pt>
                <c:pt idx="159">
                  <c:v>22.127758337574431</c:v>
                </c:pt>
                <c:pt idx="160">
                  <c:v>22.12775733757443</c:v>
                </c:pt>
                <c:pt idx="161">
                  <c:v>22.127756337574429</c:v>
                </c:pt>
                <c:pt idx="162">
                  <c:v>22.127755337574428</c:v>
                </c:pt>
                <c:pt idx="163">
                  <c:v>22.12775433757443</c:v>
                </c:pt>
                <c:pt idx="164">
                  <c:v>22.127753337574429</c:v>
                </c:pt>
                <c:pt idx="165">
                  <c:v>22.127752337574428</c:v>
                </c:pt>
                <c:pt idx="166">
                  <c:v>22.12775118744182</c:v>
                </c:pt>
                <c:pt idx="167">
                  <c:v>22.127749812649938</c:v>
                </c:pt>
                <c:pt idx="168">
                  <c:v>22.127748170270369</c:v>
                </c:pt>
                <c:pt idx="169">
                  <c:v>22.127746200550519</c:v>
                </c:pt>
                <c:pt idx="170">
                  <c:v>22.127743829811177</c:v>
                </c:pt>
                <c:pt idx="171">
                  <c:v>22.127740965605597</c:v>
                </c:pt>
                <c:pt idx="172">
                  <c:v>22.127737491555251</c:v>
                </c:pt>
                <c:pt idx="173">
                  <c:v>22.127733260406384</c:v>
                </c:pt>
                <c:pt idx="174">
                  <c:v>22.127728084877276</c:v>
                </c:pt>
                <c:pt idx="175">
                  <c:v>22.127721725484363</c:v>
                </c:pt>
                <c:pt idx="176">
                  <c:v>22.127713874248116</c:v>
                </c:pt>
                <c:pt idx="177">
                  <c:v>22.127704132732571</c:v>
                </c:pt>
                <c:pt idx="178">
                  <c:v>22.127691982232751</c:v>
                </c:pt>
                <c:pt idx="179">
                  <c:v>22.127676742992371</c:v>
                </c:pt>
                <c:pt idx="180">
                  <c:v>22.127657517965314</c:v>
                </c:pt>
                <c:pt idx="181">
                  <c:v>22.12763311460288</c:v>
                </c:pt>
                <c:pt idx="182">
                  <c:v>22.12760193510362</c:v>
                </c:pt>
                <c:pt idx="183">
                  <c:v>22.127561820946969</c:v>
                </c:pt>
                <c:pt idx="184">
                  <c:v>22.127509830456383</c:v>
                </c:pt>
                <c:pt idx="185">
                  <c:v>22.12744191715883</c:v>
                </c:pt>
                <c:pt idx="186">
                  <c:v>22.127352459455071</c:v>
                </c:pt>
                <c:pt idx="187">
                  <c:v>22.12723356463497</c:v>
                </c:pt>
                <c:pt idx="188">
                  <c:v>22.1270740258784</c:v>
                </c:pt>
                <c:pt idx="189">
                  <c:v>22.126857738076772</c:v>
                </c:pt>
                <c:pt idx="190">
                  <c:v>22.126561257006298</c:v>
                </c:pt>
                <c:pt idx="191">
                  <c:v>22.126149980868068</c:v>
                </c:pt>
                <c:pt idx="192">
                  <c:v>22.125572078858088</c:v>
                </c:pt>
                <c:pt idx="193">
                  <c:v>22.124748669145081</c:v>
                </c:pt>
                <c:pt idx="194">
                  <c:v>22.123557634895036</c:v>
                </c:pt>
                <c:pt idx="195">
                  <c:v>22.122133701262189</c:v>
                </c:pt>
                <c:pt idx="196">
                  <c:v>22.119491916532276</c:v>
                </c:pt>
                <c:pt idx="197">
                  <c:v>22.115780555998565</c:v>
                </c:pt>
                <c:pt idx="198">
                  <c:v>22.109796605376452</c:v>
                </c:pt>
                <c:pt idx="199">
                  <c:v>22.100464050432294</c:v>
                </c:pt>
                <c:pt idx="200">
                  <c:v>22.085112755594018</c:v>
                </c:pt>
                <c:pt idx="201">
                  <c:v>22.0597151278428</c:v>
                </c:pt>
                <c:pt idx="202">
                  <c:v>22.01603215132485</c:v>
                </c:pt>
                <c:pt idx="203">
                  <c:v>21.940056858850941</c:v>
                </c:pt>
                <c:pt idx="204">
                  <c:v>21.803004720890375</c:v>
                </c:pt>
                <c:pt idx="205">
                  <c:v>21.555172584897583</c:v>
                </c:pt>
                <c:pt idx="206">
                  <c:v>21.084629691343142</c:v>
                </c:pt>
                <c:pt idx="207">
                  <c:v>20.99245817257497</c:v>
                </c:pt>
                <c:pt idx="208">
                  <c:v>20.99245817257497</c:v>
                </c:pt>
                <c:pt idx="209">
                  <c:v>19.84945817257497</c:v>
                </c:pt>
                <c:pt idx="210">
                  <c:v>19.84945817257497</c:v>
                </c:pt>
                <c:pt idx="211">
                  <c:v>19.849457172574972</c:v>
                </c:pt>
                <c:pt idx="212">
                  <c:v>19.849456172574971</c:v>
                </c:pt>
                <c:pt idx="213">
                  <c:v>19.84945517257497</c:v>
                </c:pt>
                <c:pt idx="214">
                  <c:v>19.849454172574969</c:v>
                </c:pt>
                <c:pt idx="215">
                  <c:v>19.849453172574972</c:v>
                </c:pt>
                <c:pt idx="216">
                  <c:v>19.849452172574971</c:v>
                </c:pt>
                <c:pt idx="217">
                  <c:v>19.84945117257497</c:v>
                </c:pt>
                <c:pt idx="218">
                  <c:v>19.849450022442362</c:v>
                </c:pt>
                <c:pt idx="219">
                  <c:v>19.84944864765048</c:v>
                </c:pt>
                <c:pt idx="220">
                  <c:v>19.84944700527091</c:v>
                </c:pt>
                <c:pt idx="221">
                  <c:v>19.849445035551057</c:v>
                </c:pt>
                <c:pt idx="222">
                  <c:v>19.849442664811718</c:v>
                </c:pt>
                <c:pt idx="223">
                  <c:v>19.849439800606138</c:v>
                </c:pt>
                <c:pt idx="224">
                  <c:v>19.849436326555796</c:v>
                </c:pt>
                <c:pt idx="225">
                  <c:v>19.849432095406925</c:v>
                </c:pt>
                <c:pt idx="226">
                  <c:v>19.849426919877821</c:v>
                </c:pt>
                <c:pt idx="227">
                  <c:v>19.849420560484905</c:v>
                </c:pt>
                <c:pt idx="228">
                  <c:v>19.849412709248657</c:v>
                </c:pt>
                <c:pt idx="229">
                  <c:v>19.849402967733113</c:v>
                </c:pt>
                <c:pt idx="230">
                  <c:v>19.849390817233292</c:v>
                </c:pt>
                <c:pt idx="231">
                  <c:v>19.849375577992912</c:v>
                </c:pt>
                <c:pt idx="232">
                  <c:v>19.849356352965856</c:v>
                </c:pt>
                <c:pt idx="233">
                  <c:v>19.849331949603421</c:v>
                </c:pt>
                <c:pt idx="234">
                  <c:v>19.849300770104161</c:v>
                </c:pt>
                <c:pt idx="235">
                  <c:v>19.849260655947511</c:v>
                </c:pt>
                <c:pt idx="236">
                  <c:v>19.849208665456924</c:v>
                </c:pt>
                <c:pt idx="237">
                  <c:v>19.849140752159371</c:v>
                </c:pt>
                <c:pt idx="238">
                  <c:v>19.849051294455613</c:v>
                </c:pt>
                <c:pt idx="239">
                  <c:v>19.848932399635512</c:v>
                </c:pt>
                <c:pt idx="240">
                  <c:v>19.848772860878942</c:v>
                </c:pt>
                <c:pt idx="241">
                  <c:v>19.848556573077314</c:v>
                </c:pt>
                <c:pt idx="242">
                  <c:v>19.848260092006839</c:v>
                </c:pt>
                <c:pt idx="243">
                  <c:v>19.847848815868609</c:v>
                </c:pt>
                <c:pt idx="244">
                  <c:v>19.84727091385863</c:v>
                </c:pt>
                <c:pt idx="245">
                  <c:v>19.846447504145623</c:v>
                </c:pt>
                <c:pt idx="246">
                  <c:v>19.845256469895578</c:v>
                </c:pt>
                <c:pt idx="247">
                  <c:v>19.843832536262731</c:v>
                </c:pt>
                <c:pt idx="248">
                  <c:v>19.841190751532817</c:v>
                </c:pt>
                <c:pt idx="249">
                  <c:v>19.837479390999107</c:v>
                </c:pt>
                <c:pt idx="250">
                  <c:v>19.831495440376994</c:v>
                </c:pt>
                <c:pt idx="251">
                  <c:v>19.822162885432835</c:v>
                </c:pt>
                <c:pt idx="252">
                  <c:v>19.80681159059456</c:v>
                </c:pt>
                <c:pt idx="253">
                  <c:v>19.781413962843345</c:v>
                </c:pt>
                <c:pt idx="254">
                  <c:v>19.737730986325392</c:v>
                </c:pt>
                <c:pt idx="255">
                  <c:v>19.661755693851482</c:v>
                </c:pt>
                <c:pt idx="256">
                  <c:v>19.524703555890916</c:v>
                </c:pt>
                <c:pt idx="257">
                  <c:v>19.276871419898125</c:v>
                </c:pt>
                <c:pt idx="258">
                  <c:v>18.806328526343684</c:v>
                </c:pt>
                <c:pt idx="259">
                  <c:v>18.714157007575512</c:v>
                </c:pt>
                <c:pt idx="260">
                  <c:v>18.714157007575512</c:v>
                </c:pt>
                <c:pt idx="261">
                  <c:v>17.571157007575511</c:v>
                </c:pt>
                <c:pt idx="262">
                  <c:v>17.571157007575511</c:v>
                </c:pt>
                <c:pt idx="263">
                  <c:v>17.571156007575514</c:v>
                </c:pt>
                <c:pt idx="264">
                  <c:v>17.571155007575513</c:v>
                </c:pt>
                <c:pt idx="265">
                  <c:v>17.571154007575512</c:v>
                </c:pt>
                <c:pt idx="266">
                  <c:v>17.571153007575511</c:v>
                </c:pt>
                <c:pt idx="267">
                  <c:v>17.571152007575513</c:v>
                </c:pt>
                <c:pt idx="268">
                  <c:v>17.571151007575512</c:v>
                </c:pt>
                <c:pt idx="269">
                  <c:v>17.571150007575511</c:v>
                </c:pt>
                <c:pt idx="270">
                  <c:v>17.571148857442903</c:v>
                </c:pt>
                <c:pt idx="271">
                  <c:v>17.571147482651021</c:v>
                </c:pt>
                <c:pt idx="272">
                  <c:v>17.571145840271452</c:v>
                </c:pt>
                <c:pt idx="273">
                  <c:v>17.571143870551602</c:v>
                </c:pt>
                <c:pt idx="274">
                  <c:v>17.57114149981226</c:v>
                </c:pt>
                <c:pt idx="275">
                  <c:v>17.57113863560668</c:v>
                </c:pt>
                <c:pt idx="276">
                  <c:v>17.571135161556334</c:v>
                </c:pt>
                <c:pt idx="277">
                  <c:v>17.571130930407467</c:v>
                </c:pt>
                <c:pt idx="278">
                  <c:v>17.571125754878359</c:v>
                </c:pt>
                <c:pt idx="279">
                  <c:v>17.571119395485447</c:v>
                </c:pt>
                <c:pt idx="280">
                  <c:v>17.571111544249199</c:v>
                </c:pt>
                <c:pt idx="281">
                  <c:v>17.571101802733654</c:v>
                </c:pt>
                <c:pt idx="282">
                  <c:v>17.571089652233834</c:v>
                </c:pt>
                <c:pt idx="283">
                  <c:v>17.571074412993454</c:v>
                </c:pt>
                <c:pt idx="284">
                  <c:v>17.571055187966397</c:v>
                </c:pt>
                <c:pt idx="285">
                  <c:v>17.571030784603963</c:v>
                </c:pt>
                <c:pt idx="286">
                  <c:v>17.570999605104703</c:v>
                </c:pt>
                <c:pt idx="287">
                  <c:v>17.570959490948052</c:v>
                </c:pt>
                <c:pt idx="288">
                  <c:v>17.570907500457466</c:v>
                </c:pt>
                <c:pt idx="289">
                  <c:v>17.570839587159913</c:v>
                </c:pt>
                <c:pt idx="290">
                  <c:v>17.570750129456155</c:v>
                </c:pt>
                <c:pt idx="291">
                  <c:v>17.570631234636053</c:v>
                </c:pt>
                <c:pt idx="292">
                  <c:v>17.570471695879483</c:v>
                </c:pt>
                <c:pt idx="293">
                  <c:v>17.570255408077855</c:v>
                </c:pt>
                <c:pt idx="294">
                  <c:v>17.569958927007381</c:v>
                </c:pt>
                <c:pt idx="295">
                  <c:v>17.569547650869151</c:v>
                </c:pt>
                <c:pt idx="296">
                  <c:v>17.568969748859171</c:v>
                </c:pt>
                <c:pt idx="297">
                  <c:v>17.568146339146164</c:v>
                </c:pt>
                <c:pt idx="298">
                  <c:v>17.566955304896119</c:v>
                </c:pt>
                <c:pt idx="299">
                  <c:v>17.565531371263273</c:v>
                </c:pt>
                <c:pt idx="300">
                  <c:v>17.562889586533359</c:v>
                </c:pt>
                <c:pt idx="301">
                  <c:v>17.559178225999649</c:v>
                </c:pt>
                <c:pt idx="302">
                  <c:v>17.553194275377535</c:v>
                </c:pt>
                <c:pt idx="303">
                  <c:v>17.543861720433377</c:v>
                </c:pt>
                <c:pt idx="304">
                  <c:v>17.528510425595101</c:v>
                </c:pt>
                <c:pt idx="305">
                  <c:v>17.503112797843883</c:v>
                </c:pt>
                <c:pt idx="306">
                  <c:v>17.459429821325934</c:v>
                </c:pt>
                <c:pt idx="307">
                  <c:v>17.383454528852024</c:v>
                </c:pt>
                <c:pt idx="308">
                  <c:v>17.246402390891458</c:v>
                </c:pt>
                <c:pt idx="309">
                  <c:v>16.998570254898667</c:v>
                </c:pt>
                <c:pt idx="310">
                  <c:v>16.528027361344225</c:v>
                </c:pt>
                <c:pt idx="311">
                  <c:v>16.435855842576053</c:v>
                </c:pt>
                <c:pt idx="312">
                  <c:v>16.435855842576053</c:v>
                </c:pt>
                <c:pt idx="313">
                  <c:v>15.292855842576053</c:v>
                </c:pt>
                <c:pt idx="314">
                  <c:v>15.292855842576053</c:v>
                </c:pt>
                <c:pt idx="315">
                  <c:v>15.292854842576054</c:v>
                </c:pt>
                <c:pt idx="316">
                  <c:v>15.292853842576054</c:v>
                </c:pt>
                <c:pt idx="317">
                  <c:v>15.292852842576053</c:v>
                </c:pt>
                <c:pt idx="318">
                  <c:v>15.292851842576054</c:v>
                </c:pt>
                <c:pt idx="319">
                  <c:v>15.292850842576053</c:v>
                </c:pt>
                <c:pt idx="320">
                  <c:v>15.292849842576054</c:v>
                </c:pt>
                <c:pt idx="321">
                  <c:v>15.292848842576053</c:v>
                </c:pt>
                <c:pt idx="322">
                  <c:v>15.292847692443443</c:v>
                </c:pt>
                <c:pt idx="323">
                  <c:v>15.292846317651561</c:v>
                </c:pt>
                <c:pt idx="324">
                  <c:v>15.292844675271994</c:v>
                </c:pt>
                <c:pt idx="325">
                  <c:v>15.292842705552141</c:v>
                </c:pt>
                <c:pt idx="326">
                  <c:v>15.292840334812803</c:v>
                </c:pt>
                <c:pt idx="327">
                  <c:v>15.292837470607221</c:v>
                </c:pt>
                <c:pt idx="328">
                  <c:v>15.292833996556878</c:v>
                </c:pt>
                <c:pt idx="329">
                  <c:v>15.29282976540801</c:v>
                </c:pt>
                <c:pt idx="330">
                  <c:v>15.292824589878903</c:v>
                </c:pt>
                <c:pt idx="331">
                  <c:v>15.292818230485986</c:v>
                </c:pt>
                <c:pt idx="332">
                  <c:v>15.29281037924974</c:v>
                </c:pt>
                <c:pt idx="333">
                  <c:v>15.292800637734196</c:v>
                </c:pt>
                <c:pt idx="334">
                  <c:v>15.292788487234375</c:v>
                </c:pt>
                <c:pt idx="335">
                  <c:v>15.292773247993997</c:v>
                </c:pt>
                <c:pt idx="336">
                  <c:v>15.292754022966939</c:v>
                </c:pt>
                <c:pt idx="337">
                  <c:v>15.292729619604502</c:v>
                </c:pt>
                <c:pt idx="338">
                  <c:v>15.292698440105244</c:v>
                </c:pt>
                <c:pt idx="339">
                  <c:v>15.292658325948594</c:v>
                </c:pt>
                <c:pt idx="340">
                  <c:v>15.292606335458009</c:v>
                </c:pt>
                <c:pt idx="341">
                  <c:v>15.292538422160456</c:v>
                </c:pt>
                <c:pt idx="342">
                  <c:v>15.292448964456698</c:v>
                </c:pt>
                <c:pt idx="343">
                  <c:v>15.292330069636595</c:v>
                </c:pt>
                <c:pt idx="344">
                  <c:v>15.292170530880023</c:v>
                </c:pt>
                <c:pt idx="345">
                  <c:v>15.291954243078395</c:v>
                </c:pt>
                <c:pt idx="346">
                  <c:v>15.291657762007924</c:v>
                </c:pt>
                <c:pt idx="347">
                  <c:v>15.291246485869692</c:v>
                </c:pt>
                <c:pt idx="348">
                  <c:v>15.290668583859713</c:v>
                </c:pt>
                <c:pt idx="349">
                  <c:v>15.289845174146706</c:v>
                </c:pt>
                <c:pt idx="350">
                  <c:v>15.288654139896659</c:v>
                </c:pt>
                <c:pt idx="351">
                  <c:v>15.287230206263814</c:v>
                </c:pt>
                <c:pt idx="352">
                  <c:v>15.284588421533901</c:v>
                </c:pt>
                <c:pt idx="353">
                  <c:v>15.280877061000188</c:v>
                </c:pt>
                <c:pt idx="354">
                  <c:v>15.274893110378077</c:v>
                </c:pt>
                <c:pt idx="355">
                  <c:v>15.265560555433918</c:v>
                </c:pt>
                <c:pt idx="356">
                  <c:v>15.250209260595643</c:v>
                </c:pt>
                <c:pt idx="357">
                  <c:v>15.224811632844427</c:v>
                </c:pt>
                <c:pt idx="358">
                  <c:v>15.181128656326475</c:v>
                </c:pt>
                <c:pt idx="359">
                  <c:v>15.105153363852565</c:v>
                </c:pt>
                <c:pt idx="360">
                  <c:v>14.968101225892001</c:v>
                </c:pt>
                <c:pt idx="361">
                  <c:v>14.720269089899208</c:v>
                </c:pt>
                <c:pt idx="362">
                  <c:v>14.249726196344767</c:v>
                </c:pt>
                <c:pt idx="363">
                  <c:v>14.157554677576595</c:v>
                </c:pt>
                <c:pt idx="364">
                  <c:v>14.157554677576599</c:v>
                </c:pt>
                <c:pt idx="365">
                  <c:v>13.014554677576598</c:v>
                </c:pt>
                <c:pt idx="366">
                  <c:v>13.014554677576598</c:v>
                </c:pt>
                <c:pt idx="367">
                  <c:v>13.014553677576599</c:v>
                </c:pt>
                <c:pt idx="368">
                  <c:v>13.014552677576599</c:v>
                </c:pt>
                <c:pt idx="369">
                  <c:v>13.014551677576598</c:v>
                </c:pt>
                <c:pt idx="370">
                  <c:v>13.014550677576599</c:v>
                </c:pt>
                <c:pt idx="371">
                  <c:v>13.014549677576598</c:v>
                </c:pt>
                <c:pt idx="372">
                  <c:v>13.014548677576599</c:v>
                </c:pt>
                <c:pt idx="373">
                  <c:v>13.014547677576598</c:v>
                </c:pt>
                <c:pt idx="374">
                  <c:v>13.014546527443988</c:v>
                </c:pt>
                <c:pt idx="375">
                  <c:v>13.014545152652106</c:v>
                </c:pt>
                <c:pt idx="376">
                  <c:v>13.014543510272539</c:v>
                </c:pt>
                <c:pt idx="377">
                  <c:v>13.014541540552687</c:v>
                </c:pt>
                <c:pt idx="378">
                  <c:v>13.014539169813348</c:v>
                </c:pt>
                <c:pt idx="379">
                  <c:v>13.014536305607766</c:v>
                </c:pt>
                <c:pt idx="380">
                  <c:v>13.014532831557423</c:v>
                </c:pt>
                <c:pt idx="381">
                  <c:v>13.014528600408555</c:v>
                </c:pt>
                <c:pt idx="382">
                  <c:v>13.014523424879448</c:v>
                </c:pt>
                <c:pt idx="383">
                  <c:v>13.014517065486531</c:v>
                </c:pt>
                <c:pt idx="384">
                  <c:v>13.014509214250285</c:v>
                </c:pt>
                <c:pt idx="385">
                  <c:v>13.014499472734741</c:v>
                </c:pt>
                <c:pt idx="386">
                  <c:v>13.01448732223492</c:v>
                </c:pt>
                <c:pt idx="387">
                  <c:v>13.014472082994542</c:v>
                </c:pt>
                <c:pt idx="388">
                  <c:v>13.014452857967484</c:v>
                </c:pt>
                <c:pt idx="389">
                  <c:v>13.014428454605047</c:v>
                </c:pt>
                <c:pt idx="390">
                  <c:v>13.014397275105789</c:v>
                </c:pt>
                <c:pt idx="391">
                  <c:v>13.014357160949139</c:v>
                </c:pt>
                <c:pt idx="392">
                  <c:v>13.014305170458554</c:v>
                </c:pt>
                <c:pt idx="393">
                  <c:v>13.014237257161001</c:v>
                </c:pt>
                <c:pt idx="394">
                  <c:v>13.014147799457243</c:v>
                </c:pt>
                <c:pt idx="395">
                  <c:v>13.01402890463714</c:v>
                </c:pt>
                <c:pt idx="396">
                  <c:v>13.013869365880568</c:v>
                </c:pt>
                <c:pt idx="397">
                  <c:v>13.01365307807894</c:v>
                </c:pt>
                <c:pt idx="398">
                  <c:v>13.013356597008469</c:v>
                </c:pt>
                <c:pt idx="399">
                  <c:v>13.012945320870237</c:v>
                </c:pt>
                <c:pt idx="400">
                  <c:v>13.012367418860258</c:v>
                </c:pt>
                <c:pt idx="401">
                  <c:v>13.011544009147251</c:v>
                </c:pt>
                <c:pt idx="402">
                  <c:v>13.010352974897204</c:v>
                </c:pt>
                <c:pt idx="403">
                  <c:v>13.008929041264359</c:v>
                </c:pt>
                <c:pt idx="404">
                  <c:v>13.006287256534446</c:v>
                </c:pt>
                <c:pt idx="405">
                  <c:v>13.002575896000733</c:v>
                </c:pt>
                <c:pt idx="406">
                  <c:v>12.996591945378622</c:v>
                </c:pt>
                <c:pt idx="407">
                  <c:v>12.987259390434463</c:v>
                </c:pt>
                <c:pt idx="408">
                  <c:v>12.971908095596188</c:v>
                </c:pt>
                <c:pt idx="409">
                  <c:v>12.946510467844972</c:v>
                </c:pt>
                <c:pt idx="410">
                  <c:v>12.90282749132702</c:v>
                </c:pt>
                <c:pt idx="411">
                  <c:v>12.826852198853111</c:v>
                </c:pt>
                <c:pt idx="412">
                  <c:v>12.689800060892546</c:v>
                </c:pt>
                <c:pt idx="413">
                  <c:v>12.441967924899753</c:v>
                </c:pt>
                <c:pt idx="414">
                  <c:v>11.971425031345312</c:v>
                </c:pt>
                <c:pt idx="415">
                  <c:v>11.87925351257714</c:v>
                </c:pt>
                <c:pt idx="416">
                  <c:v>11.87925351257714</c:v>
                </c:pt>
                <c:pt idx="417">
                  <c:v>10.736253512577139</c:v>
                </c:pt>
                <c:pt idx="418">
                  <c:v>10.736253512577139</c:v>
                </c:pt>
                <c:pt idx="419">
                  <c:v>10.73625251257714</c:v>
                </c:pt>
                <c:pt idx="420">
                  <c:v>10.736251512577141</c:v>
                </c:pt>
                <c:pt idx="421">
                  <c:v>10.73625051257714</c:v>
                </c:pt>
                <c:pt idx="422">
                  <c:v>10.736249512577141</c:v>
                </c:pt>
                <c:pt idx="423">
                  <c:v>10.73624851257714</c:v>
                </c:pt>
                <c:pt idx="424">
                  <c:v>10.73624751257714</c:v>
                </c:pt>
                <c:pt idx="425">
                  <c:v>10.736246512577139</c:v>
                </c:pt>
                <c:pt idx="426">
                  <c:v>10.73624536244453</c:v>
                </c:pt>
                <c:pt idx="427">
                  <c:v>10.736243987652648</c:v>
                </c:pt>
                <c:pt idx="428">
                  <c:v>10.73624234527308</c:v>
                </c:pt>
                <c:pt idx="429">
                  <c:v>10.736240375553228</c:v>
                </c:pt>
                <c:pt idx="430">
                  <c:v>10.73623800481389</c:v>
                </c:pt>
                <c:pt idx="431">
                  <c:v>10.736235140608308</c:v>
                </c:pt>
                <c:pt idx="432">
                  <c:v>10.736231666557964</c:v>
                </c:pt>
                <c:pt idx="433">
                  <c:v>10.736227435409097</c:v>
                </c:pt>
                <c:pt idx="434">
                  <c:v>10.736222259879989</c:v>
                </c:pt>
                <c:pt idx="435">
                  <c:v>10.736215900487073</c:v>
                </c:pt>
                <c:pt idx="436">
                  <c:v>10.736208049250827</c:v>
                </c:pt>
                <c:pt idx="437">
                  <c:v>10.736198307735282</c:v>
                </c:pt>
                <c:pt idx="438">
                  <c:v>10.736186157235462</c:v>
                </c:pt>
                <c:pt idx="439">
                  <c:v>10.736170917995084</c:v>
                </c:pt>
                <c:pt idx="440">
                  <c:v>10.736151692968026</c:v>
                </c:pt>
                <c:pt idx="441">
                  <c:v>10.736127289605589</c:v>
                </c:pt>
                <c:pt idx="442">
                  <c:v>10.736096110106331</c:v>
                </c:pt>
                <c:pt idx="443">
                  <c:v>10.73605599594968</c:v>
                </c:pt>
                <c:pt idx="444">
                  <c:v>10.736004005459096</c:v>
                </c:pt>
                <c:pt idx="445">
                  <c:v>10.735936092161543</c:v>
                </c:pt>
                <c:pt idx="446">
                  <c:v>10.735846634457785</c:v>
                </c:pt>
                <c:pt idx="447">
                  <c:v>10.735727739637682</c:v>
                </c:pt>
                <c:pt idx="448">
                  <c:v>10.73556820088111</c:v>
                </c:pt>
                <c:pt idx="449">
                  <c:v>10.735351913079482</c:v>
                </c:pt>
                <c:pt idx="450">
                  <c:v>10.735055432009011</c:v>
                </c:pt>
                <c:pt idx="451">
                  <c:v>10.734644155870779</c:v>
                </c:pt>
                <c:pt idx="452">
                  <c:v>10.734066253860799</c:v>
                </c:pt>
                <c:pt idx="453">
                  <c:v>10.733242844147792</c:v>
                </c:pt>
                <c:pt idx="454">
                  <c:v>10.732051809897746</c:v>
                </c:pt>
                <c:pt idx="455">
                  <c:v>10.730627876264901</c:v>
                </c:pt>
                <c:pt idx="456">
                  <c:v>10.727986091534987</c:v>
                </c:pt>
                <c:pt idx="457">
                  <c:v>10.724274731001275</c:v>
                </c:pt>
                <c:pt idx="458">
                  <c:v>10.718290780379164</c:v>
                </c:pt>
                <c:pt idx="459">
                  <c:v>10.708958225435005</c:v>
                </c:pt>
                <c:pt idx="460">
                  <c:v>10.693606930596729</c:v>
                </c:pt>
                <c:pt idx="461">
                  <c:v>10.668209302845513</c:v>
                </c:pt>
                <c:pt idx="462">
                  <c:v>10.624526326327562</c:v>
                </c:pt>
                <c:pt idx="463">
                  <c:v>10.548551033853652</c:v>
                </c:pt>
                <c:pt idx="464">
                  <c:v>10.411498895893088</c:v>
                </c:pt>
                <c:pt idx="465">
                  <c:v>10.163666759900295</c:v>
                </c:pt>
                <c:pt idx="466">
                  <c:v>9.6931238663458537</c:v>
                </c:pt>
                <c:pt idx="467">
                  <c:v>9.6009523475776817</c:v>
                </c:pt>
                <c:pt idx="468">
                  <c:v>9.6009523475776817</c:v>
                </c:pt>
                <c:pt idx="469">
                  <c:v>8.457952347577681</c:v>
                </c:pt>
                <c:pt idx="470">
                  <c:v>8.457952347577681</c:v>
                </c:pt>
                <c:pt idx="471">
                  <c:v>8.4579513475776817</c:v>
                </c:pt>
                <c:pt idx="472">
                  <c:v>8.4579503475776825</c:v>
                </c:pt>
                <c:pt idx="473">
                  <c:v>8.4579493475776815</c:v>
                </c:pt>
                <c:pt idx="474">
                  <c:v>8.4579483475776822</c:v>
                </c:pt>
                <c:pt idx="475">
                  <c:v>8.4579473475776812</c:v>
                </c:pt>
                <c:pt idx="476">
                  <c:v>8.4579463475776819</c:v>
                </c:pt>
                <c:pt idx="477">
                  <c:v>8.4579453475776809</c:v>
                </c:pt>
                <c:pt idx="478">
                  <c:v>8.4579441974450713</c:v>
                </c:pt>
                <c:pt idx="479">
                  <c:v>8.4579428226531892</c:v>
                </c:pt>
                <c:pt idx="480">
                  <c:v>8.4579411802736217</c:v>
                </c:pt>
                <c:pt idx="481">
                  <c:v>8.4579392105537696</c:v>
                </c:pt>
                <c:pt idx="482">
                  <c:v>8.4579368398144315</c:v>
                </c:pt>
                <c:pt idx="483">
                  <c:v>8.4579339756088494</c:v>
                </c:pt>
                <c:pt idx="484">
                  <c:v>8.457930501558506</c:v>
                </c:pt>
                <c:pt idx="485">
                  <c:v>8.4579262704096383</c:v>
                </c:pt>
                <c:pt idx="486">
                  <c:v>8.4579210948805308</c:v>
                </c:pt>
                <c:pt idx="487">
                  <c:v>8.4579147354876145</c:v>
                </c:pt>
                <c:pt idx="488">
                  <c:v>8.4579068842513685</c:v>
                </c:pt>
                <c:pt idx="489">
                  <c:v>8.457897142735824</c:v>
                </c:pt>
                <c:pt idx="490">
                  <c:v>8.4578849922360035</c:v>
                </c:pt>
                <c:pt idx="491">
                  <c:v>8.4578697529956255</c:v>
                </c:pt>
                <c:pt idx="492">
                  <c:v>8.4578505279685672</c:v>
                </c:pt>
                <c:pt idx="493">
                  <c:v>8.4578261246061306</c:v>
                </c:pt>
                <c:pt idx="494">
                  <c:v>8.4577949451068726</c:v>
                </c:pt>
                <c:pt idx="495">
                  <c:v>8.457754830950222</c:v>
                </c:pt>
                <c:pt idx="496">
                  <c:v>8.4577028404596373</c:v>
                </c:pt>
                <c:pt idx="497">
                  <c:v>8.4576349271620845</c:v>
                </c:pt>
                <c:pt idx="498">
                  <c:v>8.4575454694583261</c:v>
                </c:pt>
                <c:pt idx="499">
                  <c:v>8.4574265746382231</c:v>
                </c:pt>
                <c:pt idx="500">
                  <c:v>8.4572670358816513</c:v>
                </c:pt>
                <c:pt idx="501">
                  <c:v>8.4570507480800234</c:v>
                </c:pt>
                <c:pt idx="502">
                  <c:v>8.4567542670095524</c:v>
                </c:pt>
                <c:pt idx="503">
                  <c:v>8.4563429908713204</c:v>
                </c:pt>
                <c:pt idx="504">
                  <c:v>8.4557650888613409</c:v>
                </c:pt>
                <c:pt idx="505">
                  <c:v>8.4549416791483338</c:v>
                </c:pt>
                <c:pt idx="506">
                  <c:v>8.4537506448982871</c:v>
                </c:pt>
                <c:pt idx="507">
                  <c:v>8.4523267112654423</c:v>
                </c:pt>
                <c:pt idx="508">
                  <c:v>8.4496849265355287</c:v>
                </c:pt>
                <c:pt idx="509">
                  <c:v>8.4459735660018165</c:v>
                </c:pt>
                <c:pt idx="510">
                  <c:v>8.4399896153797052</c:v>
                </c:pt>
                <c:pt idx="511">
                  <c:v>8.4306570604355464</c:v>
                </c:pt>
                <c:pt idx="512">
                  <c:v>8.4153057655972709</c:v>
                </c:pt>
                <c:pt idx="513">
                  <c:v>8.3899081378460547</c:v>
                </c:pt>
                <c:pt idx="514">
                  <c:v>8.3462251613281033</c:v>
                </c:pt>
                <c:pt idx="515">
                  <c:v>8.2702498688541937</c:v>
                </c:pt>
                <c:pt idx="516">
                  <c:v>8.1331977308936292</c:v>
                </c:pt>
                <c:pt idx="517">
                  <c:v>7.8853655949008363</c:v>
                </c:pt>
                <c:pt idx="518">
                  <c:v>7.4148227013463952</c:v>
                </c:pt>
                <c:pt idx="519">
                  <c:v>7.3226511825782241</c:v>
                </c:pt>
                <c:pt idx="520">
                  <c:v>7.3226511825782232</c:v>
                </c:pt>
                <c:pt idx="521">
                  <c:v>6.1796511825782234</c:v>
                </c:pt>
                <c:pt idx="522">
                  <c:v>6.1796511825782234</c:v>
                </c:pt>
                <c:pt idx="523">
                  <c:v>6.1796501825782233</c:v>
                </c:pt>
                <c:pt idx="524">
                  <c:v>6.1796491825782232</c:v>
                </c:pt>
                <c:pt idx="525">
                  <c:v>6.179648182578223</c:v>
                </c:pt>
                <c:pt idx="526">
                  <c:v>6.1796471825782238</c:v>
                </c:pt>
                <c:pt idx="527">
                  <c:v>6.1796461825782236</c:v>
                </c:pt>
                <c:pt idx="528">
                  <c:v>6.1796451825782235</c:v>
                </c:pt>
                <c:pt idx="529">
                  <c:v>6.1796441825782233</c:v>
                </c:pt>
                <c:pt idx="530">
                  <c:v>6.1796430324456129</c:v>
                </c:pt>
                <c:pt idx="531">
                  <c:v>6.1796416576537307</c:v>
                </c:pt>
                <c:pt idx="532">
                  <c:v>6.1796400152741624</c:v>
                </c:pt>
                <c:pt idx="533">
                  <c:v>6.1796380455543112</c:v>
                </c:pt>
                <c:pt idx="534">
                  <c:v>6.179635674814973</c:v>
                </c:pt>
                <c:pt idx="535">
                  <c:v>6.179632810609391</c:v>
                </c:pt>
                <c:pt idx="536">
                  <c:v>6.1796293365590476</c:v>
                </c:pt>
                <c:pt idx="537">
                  <c:v>6.1796251054101798</c:v>
                </c:pt>
                <c:pt idx="538">
                  <c:v>6.1796199298810723</c:v>
                </c:pt>
                <c:pt idx="539">
                  <c:v>6.179613570488157</c:v>
                </c:pt>
                <c:pt idx="540">
                  <c:v>6.1796057192519109</c:v>
                </c:pt>
                <c:pt idx="541">
                  <c:v>6.1795959777363656</c:v>
                </c:pt>
                <c:pt idx="542">
                  <c:v>6.1795838272365451</c:v>
                </c:pt>
                <c:pt idx="543">
                  <c:v>6.1795685879961662</c:v>
                </c:pt>
                <c:pt idx="544">
                  <c:v>6.1795493629691096</c:v>
                </c:pt>
                <c:pt idx="545">
                  <c:v>6.1795249596066721</c:v>
                </c:pt>
                <c:pt idx="546">
                  <c:v>6.1794937801074132</c:v>
                </c:pt>
                <c:pt idx="547">
                  <c:v>6.1794536659507635</c:v>
                </c:pt>
                <c:pt idx="548">
                  <c:v>6.1794016754601779</c:v>
                </c:pt>
                <c:pt idx="549">
                  <c:v>6.1793337621626261</c:v>
                </c:pt>
                <c:pt idx="550">
                  <c:v>6.1792443044588667</c:v>
                </c:pt>
                <c:pt idx="551">
                  <c:v>6.1791254096387647</c:v>
                </c:pt>
                <c:pt idx="552">
                  <c:v>6.1789658708821937</c:v>
                </c:pt>
                <c:pt idx="553">
                  <c:v>6.178749583080565</c:v>
                </c:pt>
                <c:pt idx="554">
                  <c:v>6.1784531020100939</c:v>
                </c:pt>
                <c:pt idx="555">
                  <c:v>6.1780418258718619</c:v>
                </c:pt>
                <c:pt idx="556">
                  <c:v>6.1774639238618816</c:v>
                </c:pt>
                <c:pt idx="557">
                  <c:v>6.1766405141488754</c:v>
                </c:pt>
                <c:pt idx="558">
                  <c:v>6.1754494798988295</c:v>
                </c:pt>
                <c:pt idx="559">
                  <c:v>6.174025546265983</c:v>
                </c:pt>
                <c:pt idx="560">
                  <c:v>6.1713837615360703</c:v>
                </c:pt>
                <c:pt idx="561">
                  <c:v>6.1676724010023589</c:v>
                </c:pt>
                <c:pt idx="562">
                  <c:v>6.1616884503802458</c:v>
                </c:pt>
                <c:pt idx="563">
                  <c:v>6.1523558954360889</c:v>
                </c:pt>
                <c:pt idx="564">
                  <c:v>6.1370046005978134</c:v>
                </c:pt>
                <c:pt idx="565">
                  <c:v>6.1116069728465963</c:v>
                </c:pt>
                <c:pt idx="566">
                  <c:v>6.0679239963286449</c:v>
                </c:pt>
                <c:pt idx="567">
                  <c:v>5.9919487038547361</c:v>
                </c:pt>
                <c:pt idx="568">
                  <c:v>5.8548965658941707</c:v>
                </c:pt>
                <c:pt idx="569">
                  <c:v>5.6070644299013779</c:v>
                </c:pt>
                <c:pt idx="570">
                  <c:v>5.1365215363469368</c:v>
                </c:pt>
                <c:pt idx="571">
                  <c:v>5.0443500175787657</c:v>
                </c:pt>
                <c:pt idx="572">
                  <c:v>5.0443500175787683</c:v>
                </c:pt>
                <c:pt idx="573">
                  <c:v>3.9013500175787685</c:v>
                </c:pt>
                <c:pt idx="574">
                  <c:v>3.9013500175787685</c:v>
                </c:pt>
                <c:pt idx="575">
                  <c:v>3.9013490175787684</c:v>
                </c:pt>
                <c:pt idx="576">
                  <c:v>3.9013480175787683</c:v>
                </c:pt>
                <c:pt idx="577">
                  <c:v>3.9013470175787686</c:v>
                </c:pt>
                <c:pt idx="578">
                  <c:v>3.9013460175787689</c:v>
                </c:pt>
                <c:pt idx="579">
                  <c:v>3.9013450175787687</c:v>
                </c:pt>
                <c:pt idx="580">
                  <c:v>3.9013440175787686</c:v>
                </c:pt>
                <c:pt idx="581">
                  <c:v>3.9013430175787684</c:v>
                </c:pt>
                <c:pt idx="582">
                  <c:v>3.901341867446158</c:v>
                </c:pt>
                <c:pt idx="583">
                  <c:v>3.9013404926542758</c:v>
                </c:pt>
                <c:pt idx="584">
                  <c:v>3.9013388502747075</c:v>
                </c:pt>
                <c:pt idx="585">
                  <c:v>3.9013368805548563</c:v>
                </c:pt>
                <c:pt idx="586">
                  <c:v>3.9013345098155181</c:v>
                </c:pt>
                <c:pt idx="587">
                  <c:v>3.9013316456099365</c:v>
                </c:pt>
                <c:pt idx="588">
                  <c:v>3.9013281715595927</c:v>
                </c:pt>
                <c:pt idx="589">
                  <c:v>3.9013239404107245</c:v>
                </c:pt>
                <c:pt idx="590">
                  <c:v>3.9013187648816174</c:v>
                </c:pt>
                <c:pt idx="591">
                  <c:v>3.9013124054887021</c:v>
                </c:pt>
                <c:pt idx="592">
                  <c:v>3.901304554252456</c:v>
                </c:pt>
                <c:pt idx="593">
                  <c:v>3.9012948127369107</c:v>
                </c:pt>
                <c:pt idx="594">
                  <c:v>3.9012826622370902</c:v>
                </c:pt>
                <c:pt idx="595">
                  <c:v>3.9012674229967113</c:v>
                </c:pt>
                <c:pt idx="596">
                  <c:v>3.9012481979696547</c:v>
                </c:pt>
                <c:pt idx="597">
                  <c:v>3.9012237946072172</c:v>
                </c:pt>
                <c:pt idx="598">
                  <c:v>3.9011926151079583</c:v>
                </c:pt>
                <c:pt idx="599">
                  <c:v>3.9011525009513082</c:v>
                </c:pt>
                <c:pt idx="600">
                  <c:v>3.901100510460723</c:v>
                </c:pt>
                <c:pt idx="601">
                  <c:v>3.9010325971631707</c:v>
                </c:pt>
                <c:pt idx="602">
                  <c:v>3.9009431394594118</c:v>
                </c:pt>
                <c:pt idx="603">
                  <c:v>3.9008242446393098</c:v>
                </c:pt>
                <c:pt idx="604">
                  <c:v>3.9006647058827388</c:v>
                </c:pt>
                <c:pt idx="605">
                  <c:v>3.9004484180811101</c:v>
                </c:pt>
                <c:pt idx="606">
                  <c:v>3.9001519370106386</c:v>
                </c:pt>
                <c:pt idx="607">
                  <c:v>3.899740660872407</c:v>
                </c:pt>
                <c:pt idx="608">
                  <c:v>3.8991627588624267</c:v>
                </c:pt>
                <c:pt idx="609">
                  <c:v>3.89833934914942</c:v>
                </c:pt>
                <c:pt idx="610">
                  <c:v>3.8971483148993746</c:v>
                </c:pt>
                <c:pt idx="611">
                  <c:v>3.8957243812665281</c:v>
                </c:pt>
                <c:pt idx="612">
                  <c:v>3.8930825965366154</c:v>
                </c:pt>
                <c:pt idx="613">
                  <c:v>3.889371236002904</c:v>
                </c:pt>
                <c:pt idx="614">
                  <c:v>3.8833872853807909</c:v>
                </c:pt>
                <c:pt idx="615">
                  <c:v>3.874054730436634</c:v>
                </c:pt>
                <c:pt idx="616">
                  <c:v>3.8587034355983585</c:v>
                </c:pt>
                <c:pt idx="617">
                  <c:v>3.8333058078471414</c:v>
                </c:pt>
                <c:pt idx="618">
                  <c:v>3.78962283132919</c:v>
                </c:pt>
                <c:pt idx="619">
                  <c:v>3.7136475388552812</c:v>
                </c:pt>
                <c:pt idx="620">
                  <c:v>3.5765954008947154</c:v>
                </c:pt>
                <c:pt idx="621">
                  <c:v>3.328763264901923</c:v>
                </c:pt>
                <c:pt idx="622">
                  <c:v>2.8582203713474819</c:v>
                </c:pt>
                <c:pt idx="623">
                  <c:v>2.7660488525793108</c:v>
                </c:pt>
                <c:pt idx="624">
                  <c:v>2.7660488525793099</c:v>
                </c:pt>
                <c:pt idx="625">
                  <c:v>1.6230488525793101</c:v>
                </c:pt>
                <c:pt idx="626">
                  <c:v>1.6230488525793101</c:v>
                </c:pt>
                <c:pt idx="627">
                  <c:v>1.6230478525793102</c:v>
                </c:pt>
                <c:pt idx="628">
                  <c:v>1.62304685257931</c:v>
                </c:pt>
                <c:pt idx="629">
                  <c:v>1.6230458525793101</c:v>
                </c:pt>
                <c:pt idx="630">
                  <c:v>1.6230448525793102</c:v>
                </c:pt>
                <c:pt idx="631">
                  <c:v>1.6230438525793101</c:v>
                </c:pt>
                <c:pt idx="632">
                  <c:v>1.6230428525793101</c:v>
                </c:pt>
                <c:pt idx="633">
                  <c:v>1.62304185257931</c:v>
                </c:pt>
                <c:pt idx="634">
                  <c:v>1.6230407024466997</c:v>
                </c:pt>
                <c:pt idx="635">
                  <c:v>1.6230393276548176</c:v>
                </c:pt>
                <c:pt idx="636">
                  <c:v>1.6230376852752493</c:v>
                </c:pt>
                <c:pt idx="637">
                  <c:v>1.6230357155553978</c:v>
                </c:pt>
                <c:pt idx="638">
                  <c:v>1.6230333448160594</c:v>
                </c:pt>
                <c:pt idx="639">
                  <c:v>1.6230304806104781</c:v>
                </c:pt>
                <c:pt idx="640">
                  <c:v>1.6230270065601342</c:v>
                </c:pt>
                <c:pt idx="641">
                  <c:v>1.623022775411266</c:v>
                </c:pt>
                <c:pt idx="642">
                  <c:v>1.623017599882159</c:v>
                </c:pt>
                <c:pt idx="643">
                  <c:v>1.6230112404892434</c:v>
                </c:pt>
                <c:pt idx="644">
                  <c:v>1.6230033892529974</c:v>
                </c:pt>
                <c:pt idx="645">
                  <c:v>1.622993647737452</c:v>
                </c:pt>
                <c:pt idx="646">
                  <c:v>1.622981497237632</c:v>
                </c:pt>
                <c:pt idx="647">
                  <c:v>1.622966257997253</c:v>
                </c:pt>
                <c:pt idx="648">
                  <c:v>1.622947032970196</c:v>
                </c:pt>
                <c:pt idx="649">
                  <c:v>1.622922629607759</c:v>
                </c:pt>
                <c:pt idx="650">
                  <c:v>1.6228914501085001</c:v>
                </c:pt>
                <c:pt idx="651">
                  <c:v>1.6228513359518497</c:v>
                </c:pt>
                <c:pt idx="652">
                  <c:v>1.6227993454612648</c:v>
                </c:pt>
                <c:pt idx="653">
                  <c:v>1.6227314321637123</c:v>
                </c:pt>
                <c:pt idx="654">
                  <c:v>1.6226419744599536</c:v>
                </c:pt>
                <c:pt idx="655">
                  <c:v>1.6225230796398515</c:v>
                </c:pt>
                <c:pt idx="656">
                  <c:v>1.6223635408832802</c:v>
                </c:pt>
                <c:pt idx="657">
                  <c:v>1.6221472530816519</c:v>
                </c:pt>
                <c:pt idx="658">
                  <c:v>1.6218507720111801</c:v>
                </c:pt>
                <c:pt idx="659">
                  <c:v>1.6214394958729486</c:v>
                </c:pt>
                <c:pt idx="660">
                  <c:v>1.6208615938629685</c:v>
                </c:pt>
                <c:pt idx="661">
                  <c:v>1.6200381841499616</c:v>
                </c:pt>
                <c:pt idx="662">
                  <c:v>1.618847149899916</c:v>
                </c:pt>
                <c:pt idx="663">
                  <c:v>1.6174232162670699</c:v>
                </c:pt>
                <c:pt idx="664">
                  <c:v>1.6147814315371569</c:v>
                </c:pt>
                <c:pt idx="665">
                  <c:v>1.6110700710034453</c:v>
                </c:pt>
                <c:pt idx="666">
                  <c:v>1.6050861203813325</c:v>
                </c:pt>
                <c:pt idx="667">
                  <c:v>1.5957535654371753</c:v>
                </c:pt>
                <c:pt idx="668">
                  <c:v>1.5804022705989</c:v>
                </c:pt>
                <c:pt idx="669">
                  <c:v>1.5550046428476829</c:v>
                </c:pt>
                <c:pt idx="670">
                  <c:v>1.5113216663297317</c:v>
                </c:pt>
                <c:pt idx="671">
                  <c:v>1.4353463738558225</c:v>
                </c:pt>
                <c:pt idx="672">
                  <c:v>1.2982942358952569</c:v>
                </c:pt>
                <c:pt idx="673">
                  <c:v>1.0504620999024648</c:v>
                </c:pt>
                <c:pt idx="674">
                  <c:v>0.57991920634802341</c:v>
                </c:pt>
                <c:pt idx="675">
                  <c:v>0.48774768757985232</c:v>
                </c:pt>
              </c:numCache>
            </c:numRef>
          </c:xVal>
          <c:yVal>
            <c:numRef>
              <c:f>V_SG_1_V_SL_1!$AB$56:$AB$731</c:f>
              <c:numCache>
                <c:formatCode>General</c:formatCode>
                <c:ptCount val="676"/>
                <c:pt idx="0">
                  <c:v>0.98291280402450532</c:v>
                </c:pt>
                <c:pt idx="1">
                  <c:v>0.98291280402450532</c:v>
                </c:pt>
                <c:pt idx="2">
                  <c:v>0.93029680368287238</c:v>
                </c:pt>
                <c:pt idx="3">
                  <c:v>0.9263375056609463</c:v>
                </c:pt>
                <c:pt idx="4">
                  <c:v>0.92410350289481191</c:v>
                </c:pt>
                <c:pt idx="5">
                  <c:v>0.92246702056568797</c:v>
                </c:pt>
                <c:pt idx="6">
                  <c:v>0.92112545075286889</c:v>
                </c:pt>
                <c:pt idx="7">
                  <c:v>0.91996796940552472</c:v>
                </c:pt>
                <c:pt idx="8">
                  <c:v>0.91893925200966098</c:v>
                </c:pt>
                <c:pt idx="9">
                  <c:v>0.91800698533963754</c:v>
                </c:pt>
                <c:pt idx="10">
                  <c:v>0.91702734816235443</c:v>
                </c:pt>
                <c:pt idx="11">
                  <c:v>0.9159585801938982</c:v>
                </c:pt>
                <c:pt idx="12">
                  <c:v>0.91479625559011313</c:v>
                </c:pt>
                <c:pt idx="13">
                  <c:v>0.91353048339815646</c:v>
                </c:pt>
                <c:pt idx="14">
                  <c:v>0.91215088532597044</c:v>
                </c:pt>
                <c:pt idx="15">
                  <c:v>0.91064585001688003</c:v>
                </c:pt>
                <c:pt idx="16">
                  <c:v>0.90900246739993606</c:v>
                </c:pt>
                <c:pt idx="17">
                  <c:v>0.90720635607175415</c:v>
                </c:pt>
                <c:pt idx="18">
                  <c:v>0.90524147856173309</c:v>
                </c:pt>
                <c:pt idx="19">
                  <c:v>0.90308992791247966</c:v>
                </c:pt>
                <c:pt idx="20">
                  <c:v>0.90073168239924084</c:v>
                </c:pt>
                <c:pt idx="21">
                  <c:v>0.89814432232808461</c:v>
                </c:pt>
                <c:pt idx="22">
                  <c:v>0.89530270197348261</c:v>
                </c:pt>
                <c:pt idx="23">
                  <c:v>0.89217856822269714</c:v>
                </c:pt>
                <c:pt idx="24">
                  <c:v>0.88874011591112845</c:v>
                </c:pt>
                <c:pt idx="25">
                  <c:v>0.88495146788830703</c:v>
                </c:pt>
                <c:pt idx="26">
                  <c:v>0.88077206574924116</c:v>
                </c:pt>
                <c:pt idx="27">
                  <c:v>0.87615595477184927</c:v>
                </c:pt>
                <c:pt idx="28">
                  <c:v>0.87105094411999118</c:v>
                </c:pt>
                <c:pt idx="29">
                  <c:v>0.86539762083250626</c:v>
                </c:pt>
                <c:pt idx="30">
                  <c:v>0.8591281939956712</c:v>
                </c:pt>
                <c:pt idx="31">
                  <c:v>0.85216514411116695</c:v>
                </c:pt>
                <c:pt idx="32">
                  <c:v>0.84441965326912749</c:v>
                </c:pt>
                <c:pt idx="33">
                  <c:v>0.8357897958054098</c:v>
                </c:pt>
                <c:pt idx="34">
                  <c:v>0.82615847988380908</c:v>
                </c:pt>
                <c:pt idx="35">
                  <c:v>0.8153911530387663</c:v>
                </c:pt>
                <c:pt idx="36">
                  <c:v>0.80333332837909754</c:v>
                </c:pt>
                <c:pt idx="37">
                  <c:v>0.78980806865897468</c:v>
                </c:pt>
                <c:pt idx="38">
                  <c:v>0.77461508690290759</c:v>
                </c:pt>
                <c:pt idx="39">
                  <c:v>0.76038690457725777</c:v>
                </c:pt>
                <c:pt idx="40">
                  <c:v>0.74027333028292353</c:v>
                </c:pt>
                <c:pt idx="41">
                  <c:v>0.71945185286861368</c:v>
                </c:pt>
                <c:pt idx="42">
                  <c:v>0.69510299977692602</c:v>
                </c:pt>
                <c:pt idx="43">
                  <c:v>0.66827742889075359</c:v>
                </c:pt>
                <c:pt idx="44">
                  <c:v>0.63793671515432082</c:v>
                </c:pt>
                <c:pt idx="45">
                  <c:v>0.60451895949480172</c:v>
                </c:pt>
                <c:pt idx="46">
                  <c:v>0.56764407327826527</c:v>
                </c:pt>
                <c:pt idx="47">
                  <c:v>0.52819919103708846</c:v>
                </c:pt>
                <c:pt idx="48">
                  <c:v>0.48656332837244431</c:v>
                </c:pt>
                <c:pt idx="49">
                  <c:v>0.44490630075061705</c:v>
                </c:pt>
                <c:pt idx="50">
                  <c:v>0.40422770455153728</c:v>
                </c:pt>
                <c:pt idx="51">
                  <c:v>0.3988654244970895</c:v>
                </c:pt>
                <c:pt idx="52">
                  <c:v>0.98291280402450532</c:v>
                </c:pt>
                <c:pt idx="53">
                  <c:v>0.98291280402450532</c:v>
                </c:pt>
                <c:pt idx="54">
                  <c:v>0.93029680368287238</c:v>
                </c:pt>
                <c:pt idx="55">
                  <c:v>0.9263375056609463</c:v>
                </c:pt>
                <c:pt idx="56">
                  <c:v>0.92410350289481191</c:v>
                </c:pt>
                <c:pt idx="57">
                  <c:v>0.92246702056568797</c:v>
                </c:pt>
                <c:pt idx="58">
                  <c:v>0.92112545075286889</c:v>
                </c:pt>
                <c:pt idx="59">
                  <c:v>0.91996796940552472</c:v>
                </c:pt>
                <c:pt idx="60">
                  <c:v>0.91893925200966098</c:v>
                </c:pt>
                <c:pt idx="61">
                  <c:v>0.91800698533963754</c:v>
                </c:pt>
                <c:pt idx="62">
                  <c:v>0.91702734816235443</c:v>
                </c:pt>
                <c:pt idx="63">
                  <c:v>0.9159585801938982</c:v>
                </c:pt>
                <c:pt idx="64">
                  <c:v>0.91479625559011313</c:v>
                </c:pt>
                <c:pt idx="65">
                  <c:v>0.91353048339815646</c:v>
                </c:pt>
                <c:pt idx="66">
                  <c:v>0.91215088532597044</c:v>
                </c:pt>
                <c:pt idx="67">
                  <c:v>0.91064585001688003</c:v>
                </c:pt>
                <c:pt idx="68">
                  <c:v>0.90900246739993606</c:v>
                </c:pt>
                <c:pt idx="69">
                  <c:v>0.90720635607175415</c:v>
                </c:pt>
                <c:pt idx="70">
                  <c:v>0.90524147856173309</c:v>
                </c:pt>
                <c:pt idx="71">
                  <c:v>0.90308992791247966</c:v>
                </c:pt>
                <c:pt idx="72">
                  <c:v>0.90073168239924084</c:v>
                </c:pt>
                <c:pt idx="73">
                  <c:v>0.89814432232808461</c:v>
                </c:pt>
                <c:pt idx="74">
                  <c:v>0.89530270197348261</c:v>
                </c:pt>
                <c:pt idx="75">
                  <c:v>0.89217856822269714</c:v>
                </c:pt>
                <c:pt idx="76">
                  <c:v>0.88874011591112845</c:v>
                </c:pt>
                <c:pt idx="77">
                  <c:v>0.88495146788830703</c:v>
                </c:pt>
                <c:pt idx="78">
                  <c:v>0.88077206574924116</c:v>
                </c:pt>
                <c:pt idx="79">
                  <c:v>0.87615595477184927</c:v>
                </c:pt>
                <c:pt idx="80">
                  <c:v>0.87105094411999118</c:v>
                </c:pt>
                <c:pt idx="81">
                  <c:v>0.86539762083250626</c:v>
                </c:pt>
                <c:pt idx="82">
                  <c:v>0.8591281939956712</c:v>
                </c:pt>
                <c:pt idx="83">
                  <c:v>0.85216514411116695</c:v>
                </c:pt>
                <c:pt idx="84">
                  <c:v>0.84441965326912749</c:v>
                </c:pt>
                <c:pt idx="85">
                  <c:v>0.8357897958054098</c:v>
                </c:pt>
                <c:pt idx="86">
                  <c:v>0.82615847988380908</c:v>
                </c:pt>
                <c:pt idx="87">
                  <c:v>0.8153911530387663</c:v>
                </c:pt>
                <c:pt idx="88">
                  <c:v>0.80333332837909754</c:v>
                </c:pt>
                <c:pt idx="89">
                  <c:v>0.78980806865897468</c:v>
                </c:pt>
                <c:pt idx="90">
                  <c:v>0.77461508690290759</c:v>
                </c:pt>
                <c:pt idx="91">
                  <c:v>0.76038690457725777</c:v>
                </c:pt>
                <c:pt idx="92">
                  <c:v>0.74027333028292353</c:v>
                </c:pt>
                <c:pt idx="93">
                  <c:v>0.71945185286861368</c:v>
                </c:pt>
                <c:pt idx="94">
                  <c:v>0.69510299977692602</c:v>
                </c:pt>
                <c:pt idx="95">
                  <c:v>0.66827742889075359</c:v>
                </c:pt>
                <c:pt idx="96">
                  <c:v>0.63793671515432082</c:v>
                </c:pt>
                <c:pt idx="97">
                  <c:v>0.60451895949480172</c:v>
                </c:pt>
                <c:pt idx="98">
                  <c:v>0.56764407327826527</c:v>
                </c:pt>
                <c:pt idx="99">
                  <c:v>0.52819919103708846</c:v>
                </c:pt>
                <c:pt idx="100">
                  <c:v>0.48656332837244431</c:v>
                </c:pt>
                <c:pt idx="101">
                  <c:v>0.44490630075061705</c:v>
                </c:pt>
                <c:pt idx="102">
                  <c:v>0.40422770455153728</c:v>
                </c:pt>
                <c:pt idx="103">
                  <c:v>0.3988654244970895</c:v>
                </c:pt>
                <c:pt idx="104">
                  <c:v>0.98291280402450532</c:v>
                </c:pt>
                <c:pt idx="105">
                  <c:v>0.98291280402450532</c:v>
                </c:pt>
                <c:pt idx="106">
                  <c:v>0.93029680368287238</c:v>
                </c:pt>
                <c:pt idx="107">
                  <c:v>0.9263375056609463</c:v>
                </c:pt>
                <c:pt idx="108">
                  <c:v>0.92410350289481191</c:v>
                </c:pt>
                <c:pt idx="109">
                  <c:v>0.92246702056568797</c:v>
                </c:pt>
                <c:pt idx="110">
                  <c:v>0.92112545075286889</c:v>
                </c:pt>
                <c:pt idx="111">
                  <c:v>0.91996796940552472</c:v>
                </c:pt>
                <c:pt idx="112">
                  <c:v>0.91893925200966098</c:v>
                </c:pt>
                <c:pt idx="113">
                  <c:v>0.91800698533963754</c:v>
                </c:pt>
                <c:pt idx="114">
                  <c:v>0.91702734816235443</c:v>
                </c:pt>
                <c:pt idx="115">
                  <c:v>0.9159585801938982</c:v>
                </c:pt>
                <c:pt idx="116">
                  <c:v>0.91479625559011313</c:v>
                </c:pt>
                <c:pt idx="117">
                  <c:v>0.91353048339815646</c:v>
                </c:pt>
                <c:pt idx="118">
                  <c:v>0.91215088532597044</c:v>
                </c:pt>
                <c:pt idx="119">
                  <c:v>0.91064585001688003</c:v>
                </c:pt>
                <c:pt idx="120">
                  <c:v>0.90900246739993606</c:v>
                </c:pt>
                <c:pt idx="121">
                  <c:v>0.90720635607175415</c:v>
                </c:pt>
                <c:pt idx="122">
                  <c:v>0.90524147856173309</c:v>
                </c:pt>
                <c:pt idx="123">
                  <c:v>0.90308992791247966</c:v>
                </c:pt>
                <c:pt idx="124">
                  <c:v>0.90073168239924084</c:v>
                </c:pt>
                <c:pt idx="125">
                  <c:v>0.89814432232808461</c:v>
                </c:pt>
                <c:pt idx="126">
                  <c:v>0.89530270197348261</c:v>
                </c:pt>
                <c:pt idx="127">
                  <c:v>0.89217856822269714</c:v>
                </c:pt>
                <c:pt idx="128">
                  <c:v>0.88874011591112845</c:v>
                </c:pt>
                <c:pt idx="129">
                  <c:v>0.88495146788830703</c:v>
                </c:pt>
                <c:pt idx="130">
                  <c:v>0.88077206574924116</c:v>
                </c:pt>
                <c:pt idx="131">
                  <c:v>0.87615595477184927</c:v>
                </c:pt>
                <c:pt idx="132">
                  <c:v>0.87105094411999118</c:v>
                </c:pt>
                <c:pt idx="133">
                  <c:v>0.86539762083250626</c:v>
                </c:pt>
                <c:pt idx="134">
                  <c:v>0.8591281939956712</c:v>
                </c:pt>
                <c:pt idx="135">
                  <c:v>0.85216514411116695</c:v>
                </c:pt>
                <c:pt idx="136">
                  <c:v>0.84441965326912749</c:v>
                </c:pt>
                <c:pt idx="137">
                  <c:v>0.8357897958054098</c:v>
                </c:pt>
                <c:pt idx="138">
                  <c:v>0.82615847988380908</c:v>
                </c:pt>
                <c:pt idx="139">
                  <c:v>0.8153911530387663</c:v>
                </c:pt>
                <c:pt idx="140">
                  <c:v>0.80333332837909754</c:v>
                </c:pt>
                <c:pt idx="141">
                  <c:v>0.78980806865897468</c:v>
                </c:pt>
                <c:pt idx="142">
                  <c:v>0.77461508690290759</c:v>
                </c:pt>
                <c:pt idx="143">
                  <c:v>0.76038690457725777</c:v>
                </c:pt>
                <c:pt idx="144">
                  <c:v>0.74027333028292353</c:v>
                </c:pt>
                <c:pt idx="145">
                  <c:v>0.71945185286861368</c:v>
                </c:pt>
                <c:pt idx="146">
                  <c:v>0.69510299977692602</c:v>
                </c:pt>
                <c:pt idx="147">
                  <c:v>0.66827742889075359</c:v>
                </c:pt>
                <c:pt idx="148">
                  <c:v>0.63793671515432082</c:v>
                </c:pt>
                <c:pt idx="149">
                  <c:v>0.60451895949480172</c:v>
                </c:pt>
                <c:pt idx="150">
                  <c:v>0.56764407327826527</c:v>
                </c:pt>
                <c:pt idx="151">
                  <c:v>0.52819919103708846</c:v>
                </c:pt>
                <c:pt idx="152">
                  <c:v>0.48656332837244431</c:v>
                </c:pt>
                <c:pt idx="153">
                  <c:v>0.44490630075061705</c:v>
                </c:pt>
                <c:pt idx="154">
                  <c:v>0.40422770455153728</c:v>
                </c:pt>
                <c:pt idx="155">
                  <c:v>0.3988654244970895</c:v>
                </c:pt>
                <c:pt idx="156">
                  <c:v>0.98291280402450532</c:v>
                </c:pt>
                <c:pt idx="157">
                  <c:v>0.98291280402450532</c:v>
                </c:pt>
                <c:pt idx="158">
                  <c:v>0.93029680368287238</c:v>
                </c:pt>
                <c:pt idx="159">
                  <c:v>0.9263375056609463</c:v>
                </c:pt>
                <c:pt idx="160">
                  <c:v>0.92410350289481191</c:v>
                </c:pt>
                <c:pt idx="161">
                  <c:v>0.92246702056568797</c:v>
                </c:pt>
                <c:pt idx="162">
                  <c:v>0.92112545075286889</c:v>
                </c:pt>
                <c:pt idx="163">
                  <c:v>0.91996796940552472</c:v>
                </c:pt>
                <c:pt idx="164">
                  <c:v>0.91893925200966098</c:v>
                </c:pt>
                <c:pt idx="165">
                  <c:v>0.91800698533963754</c:v>
                </c:pt>
                <c:pt idx="166">
                  <c:v>0.91702734816235443</c:v>
                </c:pt>
                <c:pt idx="167">
                  <c:v>0.9159585801938982</c:v>
                </c:pt>
                <c:pt idx="168">
                  <c:v>0.91479625559011313</c:v>
                </c:pt>
                <c:pt idx="169">
                  <c:v>0.91353048339815646</c:v>
                </c:pt>
                <c:pt idx="170">
                  <c:v>0.91215088532597044</c:v>
                </c:pt>
                <c:pt idx="171">
                  <c:v>0.91064585001688003</c:v>
                </c:pt>
                <c:pt idx="172">
                  <c:v>0.90900246739993606</c:v>
                </c:pt>
                <c:pt idx="173">
                  <c:v>0.90720635607175415</c:v>
                </c:pt>
                <c:pt idx="174">
                  <c:v>0.90524147856173309</c:v>
                </c:pt>
                <c:pt idx="175">
                  <c:v>0.90308992791247966</c:v>
                </c:pt>
                <c:pt idx="176">
                  <c:v>0.90073168239924084</c:v>
                </c:pt>
                <c:pt idx="177">
                  <c:v>0.89814432232808461</c:v>
                </c:pt>
                <c:pt idx="178">
                  <c:v>0.89530270197348261</c:v>
                </c:pt>
                <c:pt idx="179">
                  <c:v>0.89217856822269714</c:v>
                </c:pt>
                <c:pt idx="180">
                  <c:v>0.88874011591112845</c:v>
                </c:pt>
                <c:pt idx="181">
                  <c:v>0.88495146788830703</c:v>
                </c:pt>
                <c:pt idx="182">
                  <c:v>0.88077206574924116</c:v>
                </c:pt>
                <c:pt idx="183">
                  <c:v>0.87615595477184927</c:v>
                </c:pt>
                <c:pt idx="184">
                  <c:v>0.87105094411999118</c:v>
                </c:pt>
                <c:pt idx="185">
                  <c:v>0.86539762083250626</c:v>
                </c:pt>
                <c:pt idx="186">
                  <c:v>0.8591281939956712</c:v>
                </c:pt>
                <c:pt idx="187">
                  <c:v>0.85216514411116695</c:v>
                </c:pt>
                <c:pt idx="188">
                  <c:v>0.84441965326912749</c:v>
                </c:pt>
                <c:pt idx="189">
                  <c:v>0.8357897958054098</c:v>
                </c:pt>
                <c:pt idx="190">
                  <c:v>0.82615847988380908</c:v>
                </c:pt>
                <c:pt idx="191">
                  <c:v>0.8153911530387663</c:v>
                </c:pt>
                <c:pt idx="192">
                  <c:v>0.80333332837909754</c:v>
                </c:pt>
                <c:pt idx="193">
                  <c:v>0.78980806865897468</c:v>
                </c:pt>
                <c:pt idx="194">
                  <c:v>0.77461508690290759</c:v>
                </c:pt>
                <c:pt idx="195">
                  <c:v>0.76038690457725777</c:v>
                </c:pt>
                <c:pt idx="196">
                  <c:v>0.74027333028292353</c:v>
                </c:pt>
                <c:pt idx="197">
                  <c:v>0.71945185286861368</c:v>
                </c:pt>
                <c:pt idx="198">
                  <c:v>0.69510299977692602</c:v>
                </c:pt>
                <c:pt idx="199">
                  <c:v>0.66827742889075359</c:v>
                </c:pt>
                <c:pt idx="200">
                  <c:v>0.63793671515432082</c:v>
                </c:pt>
                <c:pt idx="201">
                  <c:v>0.60451895949480172</c:v>
                </c:pt>
                <c:pt idx="202">
                  <c:v>0.56764407327826527</c:v>
                </c:pt>
                <c:pt idx="203">
                  <c:v>0.52819919103708846</c:v>
                </c:pt>
                <c:pt idx="204">
                  <c:v>0.48656332837244431</c:v>
                </c:pt>
                <c:pt idx="205">
                  <c:v>0.44490630075061705</c:v>
                </c:pt>
                <c:pt idx="206">
                  <c:v>0.40422770455153728</c:v>
                </c:pt>
                <c:pt idx="207">
                  <c:v>0.3988654244970895</c:v>
                </c:pt>
                <c:pt idx="208">
                  <c:v>0.98291280402450532</c:v>
                </c:pt>
                <c:pt idx="209">
                  <c:v>0.98291280402450532</c:v>
                </c:pt>
                <c:pt idx="210">
                  <c:v>0.93029680368287238</c:v>
                </c:pt>
                <c:pt idx="211">
                  <c:v>0.9263375056609463</c:v>
                </c:pt>
                <c:pt idx="212">
                  <c:v>0.92410350289481191</c:v>
                </c:pt>
                <c:pt idx="213">
                  <c:v>0.92246702056568797</c:v>
                </c:pt>
                <c:pt idx="214">
                  <c:v>0.92112545075286889</c:v>
                </c:pt>
                <c:pt idx="215">
                  <c:v>0.91996796940552472</c:v>
                </c:pt>
                <c:pt idx="216">
                  <c:v>0.91893925200966098</c:v>
                </c:pt>
                <c:pt idx="217">
                  <c:v>0.91800698533963754</c:v>
                </c:pt>
                <c:pt idx="218">
                  <c:v>0.91702734816235443</c:v>
                </c:pt>
                <c:pt idx="219">
                  <c:v>0.9159585801938982</c:v>
                </c:pt>
                <c:pt idx="220">
                  <c:v>0.91479625559011313</c:v>
                </c:pt>
                <c:pt idx="221">
                  <c:v>0.91353048339815646</c:v>
                </c:pt>
                <c:pt idx="222">
                  <c:v>0.91215088532597044</c:v>
                </c:pt>
                <c:pt idx="223">
                  <c:v>0.91064585001688003</c:v>
                </c:pt>
                <c:pt idx="224">
                  <c:v>0.90900246739993606</c:v>
                </c:pt>
                <c:pt idx="225">
                  <c:v>0.90720635607175415</c:v>
                </c:pt>
                <c:pt idx="226">
                  <c:v>0.90524147856173309</c:v>
                </c:pt>
                <c:pt idx="227">
                  <c:v>0.90308992791247966</c:v>
                </c:pt>
                <c:pt idx="228">
                  <c:v>0.90073168239924084</c:v>
                </c:pt>
                <c:pt idx="229">
                  <c:v>0.89814432232808461</c:v>
                </c:pt>
                <c:pt idx="230">
                  <c:v>0.89530270197348261</c:v>
                </c:pt>
                <c:pt idx="231">
                  <c:v>0.89217856822269714</c:v>
                </c:pt>
                <c:pt idx="232">
                  <c:v>0.88874011591112845</c:v>
                </c:pt>
                <c:pt idx="233">
                  <c:v>0.88495146788830703</c:v>
                </c:pt>
                <c:pt idx="234">
                  <c:v>0.88077206574924116</c:v>
                </c:pt>
                <c:pt idx="235">
                  <c:v>0.87615595477184927</c:v>
                </c:pt>
                <c:pt idx="236">
                  <c:v>0.87105094411999118</c:v>
                </c:pt>
                <c:pt idx="237">
                  <c:v>0.86539762083250626</c:v>
                </c:pt>
                <c:pt idx="238">
                  <c:v>0.8591281939956712</c:v>
                </c:pt>
                <c:pt idx="239">
                  <c:v>0.85216514411116695</c:v>
                </c:pt>
                <c:pt idx="240">
                  <c:v>0.84441965326912749</c:v>
                </c:pt>
                <c:pt idx="241">
                  <c:v>0.8357897958054098</c:v>
                </c:pt>
                <c:pt idx="242">
                  <c:v>0.82615847988380908</c:v>
                </c:pt>
                <c:pt idx="243">
                  <c:v>0.8153911530387663</c:v>
                </c:pt>
                <c:pt idx="244">
                  <c:v>0.80333332837909754</c:v>
                </c:pt>
                <c:pt idx="245">
                  <c:v>0.78980806865897468</c:v>
                </c:pt>
                <c:pt idx="246">
                  <c:v>0.77461508690290759</c:v>
                </c:pt>
                <c:pt idx="247">
                  <c:v>0.76038690457725777</c:v>
                </c:pt>
                <c:pt idx="248">
                  <c:v>0.74027333028292353</c:v>
                </c:pt>
                <c:pt idx="249">
                  <c:v>0.71945185286861368</c:v>
                </c:pt>
                <c:pt idx="250">
                  <c:v>0.69510299977692602</c:v>
                </c:pt>
                <c:pt idx="251">
                  <c:v>0.66827742889075359</c:v>
                </c:pt>
                <c:pt idx="252">
                  <c:v>0.63793671515432082</c:v>
                </c:pt>
                <c:pt idx="253">
                  <c:v>0.60451895949480172</c:v>
                </c:pt>
                <c:pt idx="254">
                  <c:v>0.56764407327826527</c:v>
                </c:pt>
                <c:pt idx="255">
                  <c:v>0.52819919103708846</c:v>
                </c:pt>
                <c:pt idx="256">
                  <c:v>0.48656332837244431</c:v>
                </c:pt>
                <c:pt idx="257">
                  <c:v>0.44490630075061705</c:v>
                </c:pt>
                <c:pt idx="258">
                  <c:v>0.40422770455153728</c:v>
                </c:pt>
                <c:pt idx="259">
                  <c:v>0.3988654244970895</c:v>
                </c:pt>
                <c:pt idx="260">
                  <c:v>0.98291280402450532</c:v>
                </c:pt>
                <c:pt idx="261">
                  <c:v>0.98291280402450532</c:v>
                </c:pt>
                <c:pt idx="262">
                  <c:v>0.93029680368287238</c:v>
                </c:pt>
                <c:pt idx="263">
                  <c:v>0.9263375056609463</c:v>
                </c:pt>
                <c:pt idx="264">
                  <c:v>0.92410350289481191</c:v>
                </c:pt>
                <c:pt idx="265">
                  <c:v>0.92246702056568797</c:v>
                </c:pt>
                <c:pt idx="266">
                  <c:v>0.92112545075286889</c:v>
                </c:pt>
                <c:pt idx="267">
                  <c:v>0.91996796940552472</c:v>
                </c:pt>
                <c:pt idx="268">
                  <c:v>0.91893925200966098</c:v>
                </c:pt>
                <c:pt idx="269">
                  <c:v>0.91800698533963754</c:v>
                </c:pt>
                <c:pt idx="270">
                  <c:v>0.91702734816235443</c:v>
                </c:pt>
                <c:pt idx="271">
                  <c:v>0.9159585801938982</c:v>
                </c:pt>
                <c:pt idx="272">
                  <c:v>0.91479625559011313</c:v>
                </c:pt>
                <c:pt idx="273">
                  <c:v>0.91353048339815646</c:v>
                </c:pt>
                <c:pt idx="274">
                  <c:v>0.91215088532597044</c:v>
                </c:pt>
                <c:pt idx="275">
                  <c:v>0.91064585001688003</c:v>
                </c:pt>
                <c:pt idx="276">
                  <c:v>0.90900246739993606</c:v>
                </c:pt>
                <c:pt idx="277">
                  <c:v>0.90720635607175415</c:v>
                </c:pt>
                <c:pt idx="278">
                  <c:v>0.90524147856173309</c:v>
                </c:pt>
                <c:pt idx="279">
                  <c:v>0.90308992791247966</c:v>
                </c:pt>
                <c:pt idx="280">
                  <c:v>0.90073168239924084</c:v>
                </c:pt>
                <c:pt idx="281">
                  <c:v>0.89814432232808461</c:v>
                </c:pt>
                <c:pt idx="282">
                  <c:v>0.89530270197348261</c:v>
                </c:pt>
                <c:pt idx="283">
                  <c:v>0.89217856822269714</c:v>
                </c:pt>
                <c:pt idx="284">
                  <c:v>0.88874011591112845</c:v>
                </c:pt>
                <c:pt idx="285">
                  <c:v>0.88495146788830703</c:v>
                </c:pt>
                <c:pt idx="286">
                  <c:v>0.88077206574924116</c:v>
                </c:pt>
                <c:pt idx="287">
                  <c:v>0.87615595477184927</c:v>
                </c:pt>
                <c:pt idx="288">
                  <c:v>0.87105094411999118</c:v>
                </c:pt>
                <c:pt idx="289">
                  <c:v>0.86539762083250626</c:v>
                </c:pt>
                <c:pt idx="290">
                  <c:v>0.8591281939956712</c:v>
                </c:pt>
                <c:pt idx="291">
                  <c:v>0.85216514411116695</c:v>
                </c:pt>
                <c:pt idx="292">
                  <c:v>0.84441965326912749</c:v>
                </c:pt>
                <c:pt idx="293">
                  <c:v>0.8357897958054098</c:v>
                </c:pt>
                <c:pt idx="294">
                  <c:v>0.82615847988380908</c:v>
                </c:pt>
                <c:pt idx="295">
                  <c:v>0.8153911530387663</c:v>
                </c:pt>
                <c:pt idx="296">
                  <c:v>0.80333332837909754</c:v>
                </c:pt>
                <c:pt idx="297">
                  <c:v>0.78980806865897468</c:v>
                </c:pt>
                <c:pt idx="298">
                  <c:v>0.77461508690290759</c:v>
                </c:pt>
                <c:pt idx="299">
                  <c:v>0.76038690457725777</c:v>
                </c:pt>
                <c:pt idx="300">
                  <c:v>0.74027333028292353</c:v>
                </c:pt>
                <c:pt idx="301">
                  <c:v>0.71945185286861368</c:v>
                </c:pt>
                <c:pt idx="302">
                  <c:v>0.69510299977692602</c:v>
                </c:pt>
                <c:pt idx="303">
                  <c:v>0.66827742889075359</c:v>
                </c:pt>
                <c:pt idx="304">
                  <c:v>0.63793671515432082</c:v>
                </c:pt>
                <c:pt idx="305">
                  <c:v>0.60451895949480172</c:v>
                </c:pt>
                <c:pt idx="306">
                  <c:v>0.56764407327826527</c:v>
                </c:pt>
                <c:pt idx="307">
                  <c:v>0.52819919103708846</c:v>
                </c:pt>
                <c:pt idx="308">
                  <c:v>0.48656332837244431</c:v>
                </c:pt>
                <c:pt idx="309">
                  <c:v>0.44490630075061705</c:v>
                </c:pt>
                <c:pt idx="310">
                  <c:v>0.40422770455153728</c:v>
                </c:pt>
                <c:pt idx="311">
                  <c:v>0.3988654244970895</c:v>
                </c:pt>
                <c:pt idx="312">
                  <c:v>0.98291280402450532</c:v>
                </c:pt>
                <c:pt idx="313">
                  <c:v>0.98291280402450532</c:v>
                </c:pt>
                <c:pt idx="314">
                  <c:v>0.93029680368287238</c:v>
                </c:pt>
                <c:pt idx="315">
                  <c:v>0.9263375056609463</c:v>
                </c:pt>
                <c:pt idx="316">
                  <c:v>0.92410350289481191</c:v>
                </c:pt>
                <c:pt idx="317">
                  <c:v>0.92246702056568797</c:v>
                </c:pt>
                <c:pt idx="318">
                  <c:v>0.92112545075286889</c:v>
                </c:pt>
                <c:pt idx="319">
                  <c:v>0.91996796940552472</c:v>
                </c:pt>
                <c:pt idx="320">
                  <c:v>0.91893925200966098</c:v>
                </c:pt>
                <c:pt idx="321">
                  <c:v>0.91800698533963754</c:v>
                </c:pt>
                <c:pt idx="322">
                  <c:v>0.91702734816235443</c:v>
                </c:pt>
                <c:pt idx="323">
                  <c:v>0.9159585801938982</c:v>
                </c:pt>
                <c:pt idx="324">
                  <c:v>0.91479625559011313</c:v>
                </c:pt>
                <c:pt idx="325">
                  <c:v>0.91353048339815646</c:v>
                </c:pt>
                <c:pt idx="326">
                  <c:v>0.91215088532597044</c:v>
                </c:pt>
                <c:pt idx="327">
                  <c:v>0.91064585001688003</c:v>
                </c:pt>
                <c:pt idx="328">
                  <c:v>0.90900246739993606</c:v>
                </c:pt>
                <c:pt idx="329">
                  <c:v>0.90720635607175415</c:v>
                </c:pt>
                <c:pt idx="330">
                  <c:v>0.90524147856173309</c:v>
                </c:pt>
                <c:pt idx="331">
                  <c:v>0.90308992791247966</c:v>
                </c:pt>
                <c:pt idx="332">
                  <c:v>0.90073168239924084</c:v>
                </c:pt>
                <c:pt idx="333">
                  <c:v>0.89814432232808461</c:v>
                </c:pt>
                <c:pt idx="334">
                  <c:v>0.89530270197348261</c:v>
                </c:pt>
                <c:pt idx="335">
                  <c:v>0.89217856822269714</c:v>
                </c:pt>
                <c:pt idx="336">
                  <c:v>0.88874011591112845</c:v>
                </c:pt>
                <c:pt idx="337">
                  <c:v>0.88495146788830703</c:v>
                </c:pt>
                <c:pt idx="338">
                  <c:v>0.88077206574924116</c:v>
                </c:pt>
                <c:pt idx="339">
                  <c:v>0.87615595477184927</c:v>
                </c:pt>
                <c:pt idx="340">
                  <c:v>0.87105094411999118</c:v>
                </c:pt>
                <c:pt idx="341">
                  <c:v>0.86539762083250626</c:v>
                </c:pt>
                <c:pt idx="342">
                  <c:v>0.8591281939956712</c:v>
                </c:pt>
                <c:pt idx="343">
                  <c:v>0.85216514411116695</c:v>
                </c:pt>
                <c:pt idx="344">
                  <c:v>0.84441965326912749</c:v>
                </c:pt>
                <c:pt idx="345">
                  <c:v>0.8357897958054098</c:v>
                </c:pt>
                <c:pt idx="346">
                  <c:v>0.82615847988380908</c:v>
                </c:pt>
                <c:pt idx="347">
                  <c:v>0.8153911530387663</c:v>
                </c:pt>
                <c:pt idx="348">
                  <c:v>0.80333332837909754</c:v>
                </c:pt>
                <c:pt idx="349">
                  <c:v>0.78980806865897468</c:v>
                </c:pt>
                <c:pt idx="350">
                  <c:v>0.77461508690290759</c:v>
                </c:pt>
                <c:pt idx="351">
                  <c:v>0.76038690457725777</c:v>
                </c:pt>
                <c:pt idx="352">
                  <c:v>0.74027333028292353</c:v>
                </c:pt>
                <c:pt idx="353">
                  <c:v>0.71945185286861368</c:v>
                </c:pt>
                <c:pt idx="354">
                  <c:v>0.69510299977692602</c:v>
                </c:pt>
                <c:pt idx="355">
                  <c:v>0.66827742889075359</c:v>
                </c:pt>
                <c:pt idx="356">
                  <c:v>0.63793671515432082</c:v>
                </c:pt>
                <c:pt idx="357">
                  <c:v>0.60451895949480172</c:v>
                </c:pt>
                <c:pt idx="358">
                  <c:v>0.56764407327826527</c:v>
                </c:pt>
                <c:pt idx="359">
                  <c:v>0.52819919103708846</c:v>
                </c:pt>
                <c:pt idx="360">
                  <c:v>0.48656332837244431</c:v>
                </c:pt>
                <c:pt idx="361">
                  <c:v>0.44490630075061705</c:v>
                </c:pt>
                <c:pt idx="362">
                  <c:v>0.40422770455153728</c:v>
                </c:pt>
                <c:pt idx="363">
                  <c:v>0.3988654244970895</c:v>
                </c:pt>
                <c:pt idx="364">
                  <c:v>0.98291280402450532</c:v>
                </c:pt>
                <c:pt idx="365">
                  <c:v>0.98291280402450532</c:v>
                </c:pt>
                <c:pt idx="366">
                  <c:v>0.93029680368287238</c:v>
                </c:pt>
                <c:pt idx="367">
                  <c:v>0.9263375056609463</c:v>
                </c:pt>
                <c:pt idx="368">
                  <c:v>0.92410350289481191</c:v>
                </c:pt>
                <c:pt idx="369">
                  <c:v>0.92246702056568797</c:v>
                </c:pt>
                <c:pt idx="370">
                  <c:v>0.92112545075286889</c:v>
                </c:pt>
                <c:pt idx="371">
                  <c:v>0.91996796940552472</c:v>
                </c:pt>
                <c:pt idx="372">
                  <c:v>0.91893925200966098</c:v>
                </c:pt>
                <c:pt idx="373">
                  <c:v>0.91800698533963754</c:v>
                </c:pt>
                <c:pt idx="374">
                  <c:v>0.91702734816235443</c:v>
                </c:pt>
                <c:pt idx="375">
                  <c:v>0.9159585801938982</c:v>
                </c:pt>
                <c:pt idx="376">
                  <c:v>0.91479625559011313</c:v>
                </c:pt>
                <c:pt idx="377">
                  <c:v>0.91353048339815646</c:v>
                </c:pt>
                <c:pt idx="378">
                  <c:v>0.91215088532597044</c:v>
                </c:pt>
                <c:pt idx="379">
                  <c:v>0.91064585001688003</c:v>
                </c:pt>
                <c:pt idx="380">
                  <c:v>0.90900246739993606</c:v>
                </c:pt>
                <c:pt idx="381">
                  <c:v>0.90720635607175415</c:v>
                </c:pt>
                <c:pt idx="382">
                  <c:v>0.90524147856173309</c:v>
                </c:pt>
                <c:pt idx="383">
                  <c:v>0.90308992791247966</c:v>
                </c:pt>
                <c:pt idx="384">
                  <c:v>0.90073168239924084</c:v>
                </c:pt>
                <c:pt idx="385">
                  <c:v>0.89814432232808461</c:v>
                </c:pt>
                <c:pt idx="386">
                  <c:v>0.89530270197348261</c:v>
                </c:pt>
                <c:pt idx="387">
                  <c:v>0.89217856822269714</c:v>
                </c:pt>
                <c:pt idx="388">
                  <c:v>0.88874011591112845</c:v>
                </c:pt>
                <c:pt idx="389">
                  <c:v>0.88495146788830703</c:v>
                </c:pt>
                <c:pt idx="390">
                  <c:v>0.88077206574924116</c:v>
                </c:pt>
                <c:pt idx="391">
                  <c:v>0.87615595477184927</c:v>
                </c:pt>
                <c:pt idx="392">
                  <c:v>0.87105094411999118</c:v>
                </c:pt>
                <c:pt idx="393">
                  <c:v>0.86539762083250626</c:v>
                </c:pt>
                <c:pt idx="394">
                  <c:v>0.8591281939956712</c:v>
                </c:pt>
                <c:pt idx="395">
                  <c:v>0.85216514411116695</c:v>
                </c:pt>
                <c:pt idx="396">
                  <c:v>0.84441965326912749</c:v>
                </c:pt>
                <c:pt idx="397">
                  <c:v>0.8357897958054098</c:v>
                </c:pt>
                <c:pt idx="398">
                  <c:v>0.82615847988380908</c:v>
                </c:pt>
                <c:pt idx="399">
                  <c:v>0.8153911530387663</c:v>
                </c:pt>
                <c:pt idx="400">
                  <c:v>0.80333332837909754</c:v>
                </c:pt>
                <c:pt idx="401">
                  <c:v>0.78980806865897468</c:v>
                </c:pt>
                <c:pt idx="402">
                  <c:v>0.77461508690290759</c:v>
                </c:pt>
                <c:pt idx="403">
                  <c:v>0.76038690457725777</c:v>
                </c:pt>
                <c:pt idx="404">
                  <c:v>0.74027333028292353</c:v>
                </c:pt>
                <c:pt idx="405">
                  <c:v>0.71945185286861368</c:v>
                </c:pt>
                <c:pt idx="406">
                  <c:v>0.69510299977692602</c:v>
                </c:pt>
                <c:pt idx="407">
                  <c:v>0.66827742889075359</c:v>
                </c:pt>
                <c:pt idx="408">
                  <c:v>0.63793671515432082</c:v>
                </c:pt>
                <c:pt idx="409">
                  <c:v>0.60451895949480172</c:v>
                </c:pt>
                <c:pt idx="410">
                  <c:v>0.56764407327826527</c:v>
                </c:pt>
                <c:pt idx="411">
                  <c:v>0.52819919103708846</c:v>
                </c:pt>
                <c:pt idx="412">
                  <c:v>0.48656332837244431</c:v>
                </c:pt>
                <c:pt idx="413">
                  <c:v>0.44490630075061705</c:v>
                </c:pt>
                <c:pt idx="414">
                  <c:v>0.40422770455153728</c:v>
                </c:pt>
                <c:pt idx="415">
                  <c:v>0.3988654244970895</c:v>
                </c:pt>
                <c:pt idx="416">
                  <c:v>0.98291280402450532</c:v>
                </c:pt>
                <c:pt idx="417">
                  <c:v>0.98291280402450532</c:v>
                </c:pt>
                <c:pt idx="418">
                  <c:v>0.93029680368287238</c:v>
                </c:pt>
                <c:pt idx="419">
                  <c:v>0.9263375056609463</c:v>
                </c:pt>
                <c:pt idx="420">
                  <c:v>0.92410350289481191</c:v>
                </c:pt>
                <c:pt idx="421">
                  <c:v>0.92246702056568797</c:v>
                </c:pt>
                <c:pt idx="422">
                  <c:v>0.92112545075286889</c:v>
                </c:pt>
                <c:pt idx="423">
                  <c:v>0.91996796940552472</c:v>
                </c:pt>
                <c:pt idx="424">
                  <c:v>0.91893925200966098</c:v>
                </c:pt>
                <c:pt idx="425">
                  <c:v>0.91800698533963754</c:v>
                </c:pt>
                <c:pt idx="426">
                  <c:v>0.91702734816235443</c:v>
                </c:pt>
                <c:pt idx="427">
                  <c:v>0.9159585801938982</c:v>
                </c:pt>
                <c:pt idx="428">
                  <c:v>0.91479625559011313</c:v>
                </c:pt>
                <c:pt idx="429">
                  <c:v>0.91353048339815646</c:v>
                </c:pt>
                <c:pt idx="430">
                  <c:v>0.91215088532597044</c:v>
                </c:pt>
                <c:pt idx="431">
                  <c:v>0.91064585001688003</c:v>
                </c:pt>
                <c:pt idx="432">
                  <c:v>0.90900246739993606</c:v>
                </c:pt>
                <c:pt idx="433">
                  <c:v>0.90720635607175415</c:v>
                </c:pt>
                <c:pt idx="434">
                  <c:v>0.90524147856173309</c:v>
                </c:pt>
                <c:pt idx="435">
                  <c:v>0.90308992791247966</c:v>
                </c:pt>
                <c:pt idx="436">
                  <c:v>0.90073168239924084</c:v>
                </c:pt>
                <c:pt idx="437">
                  <c:v>0.89814432232808461</c:v>
                </c:pt>
                <c:pt idx="438">
                  <c:v>0.89530270197348261</c:v>
                </c:pt>
                <c:pt idx="439">
                  <c:v>0.89217856822269714</c:v>
                </c:pt>
                <c:pt idx="440">
                  <c:v>0.88874011591112845</c:v>
                </c:pt>
                <c:pt idx="441">
                  <c:v>0.88495146788830703</c:v>
                </c:pt>
                <c:pt idx="442">
                  <c:v>0.88077206574924116</c:v>
                </c:pt>
                <c:pt idx="443">
                  <c:v>0.87615595477184927</c:v>
                </c:pt>
                <c:pt idx="444">
                  <c:v>0.87105094411999118</c:v>
                </c:pt>
                <c:pt idx="445">
                  <c:v>0.86539762083250626</c:v>
                </c:pt>
                <c:pt idx="446">
                  <c:v>0.8591281939956712</c:v>
                </c:pt>
                <c:pt idx="447">
                  <c:v>0.85216514411116695</c:v>
                </c:pt>
                <c:pt idx="448">
                  <c:v>0.84441965326912749</c:v>
                </c:pt>
                <c:pt idx="449">
                  <c:v>0.8357897958054098</c:v>
                </c:pt>
                <c:pt idx="450">
                  <c:v>0.82615847988380908</c:v>
                </c:pt>
                <c:pt idx="451">
                  <c:v>0.8153911530387663</c:v>
                </c:pt>
                <c:pt idx="452">
                  <c:v>0.80333332837909754</c:v>
                </c:pt>
                <c:pt idx="453">
                  <c:v>0.78980806865897468</c:v>
                </c:pt>
                <c:pt idx="454">
                  <c:v>0.77461508690290759</c:v>
                </c:pt>
                <c:pt idx="455">
                  <c:v>0.76038690457725777</c:v>
                </c:pt>
                <c:pt idx="456">
                  <c:v>0.74027333028292353</c:v>
                </c:pt>
                <c:pt idx="457">
                  <c:v>0.71945185286861368</c:v>
                </c:pt>
                <c:pt idx="458">
                  <c:v>0.69510299977692602</c:v>
                </c:pt>
                <c:pt idx="459">
                  <c:v>0.66827742889075359</c:v>
                </c:pt>
                <c:pt idx="460">
                  <c:v>0.63793671515432082</c:v>
                </c:pt>
                <c:pt idx="461">
                  <c:v>0.60451895949480172</c:v>
                </c:pt>
                <c:pt idx="462">
                  <c:v>0.56764407327826527</c:v>
                </c:pt>
                <c:pt idx="463">
                  <c:v>0.52819919103708846</c:v>
                </c:pt>
                <c:pt idx="464">
                  <c:v>0.48656332837244431</c:v>
                </c:pt>
                <c:pt idx="465">
                  <c:v>0.44490630075061705</c:v>
                </c:pt>
                <c:pt idx="466">
                  <c:v>0.40422770455153728</c:v>
                </c:pt>
                <c:pt idx="467">
                  <c:v>0.3988654244970895</c:v>
                </c:pt>
                <c:pt idx="468">
                  <c:v>0.98291280402450532</c:v>
                </c:pt>
                <c:pt idx="469">
                  <c:v>0.98291280402450532</c:v>
                </c:pt>
                <c:pt idx="470">
                  <c:v>0.93029680368287238</c:v>
                </c:pt>
                <c:pt idx="471">
                  <c:v>0.9263375056609463</c:v>
                </c:pt>
                <c:pt idx="472">
                  <c:v>0.92410350289481191</c:v>
                </c:pt>
                <c:pt idx="473">
                  <c:v>0.92246702056568797</c:v>
                </c:pt>
                <c:pt idx="474">
                  <c:v>0.92112545075286889</c:v>
                </c:pt>
                <c:pt idx="475">
                  <c:v>0.91996796940552472</c:v>
                </c:pt>
                <c:pt idx="476">
                  <c:v>0.91893925200966098</c:v>
                </c:pt>
                <c:pt idx="477">
                  <c:v>0.91800698533963754</c:v>
                </c:pt>
                <c:pt idx="478">
                  <c:v>0.91702734816235443</c:v>
                </c:pt>
                <c:pt idx="479">
                  <c:v>0.9159585801938982</c:v>
                </c:pt>
                <c:pt idx="480">
                  <c:v>0.91479625559011313</c:v>
                </c:pt>
                <c:pt idx="481">
                  <c:v>0.91353048339815646</c:v>
                </c:pt>
                <c:pt idx="482">
                  <c:v>0.91215088532597044</c:v>
                </c:pt>
                <c:pt idx="483">
                  <c:v>0.91064585001688003</c:v>
                </c:pt>
                <c:pt idx="484">
                  <c:v>0.90900246739993606</c:v>
                </c:pt>
                <c:pt idx="485">
                  <c:v>0.90720635607175415</c:v>
                </c:pt>
                <c:pt idx="486">
                  <c:v>0.90524147856173309</c:v>
                </c:pt>
                <c:pt idx="487">
                  <c:v>0.90308992791247966</c:v>
                </c:pt>
                <c:pt idx="488">
                  <c:v>0.90073168239924084</c:v>
                </c:pt>
                <c:pt idx="489">
                  <c:v>0.89814432232808461</c:v>
                </c:pt>
                <c:pt idx="490">
                  <c:v>0.89530270197348261</c:v>
                </c:pt>
                <c:pt idx="491">
                  <c:v>0.89217856822269714</c:v>
                </c:pt>
                <c:pt idx="492">
                  <c:v>0.88874011591112845</c:v>
                </c:pt>
                <c:pt idx="493">
                  <c:v>0.88495146788830703</c:v>
                </c:pt>
                <c:pt idx="494">
                  <c:v>0.88077206574924116</c:v>
                </c:pt>
                <c:pt idx="495">
                  <c:v>0.87615595477184927</c:v>
                </c:pt>
                <c:pt idx="496">
                  <c:v>0.87105094411999118</c:v>
                </c:pt>
                <c:pt idx="497">
                  <c:v>0.86539762083250626</c:v>
                </c:pt>
                <c:pt idx="498">
                  <c:v>0.8591281939956712</c:v>
                </c:pt>
                <c:pt idx="499">
                  <c:v>0.85216514411116695</c:v>
                </c:pt>
                <c:pt idx="500">
                  <c:v>0.84441965326912749</c:v>
                </c:pt>
                <c:pt idx="501">
                  <c:v>0.8357897958054098</c:v>
                </c:pt>
                <c:pt idx="502">
                  <c:v>0.82615847988380908</c:v>
                </c:pt>
                <c:pt idx="503">
                  <c:v>0.8153911530387663</c:v>
                </c:pt>
                <c:pt idx="504">
                  <c:v>0.80333332837909754</c:v>
                </c:pt>
                <c:pt idx="505">
                  <c:v>0.78980806865897468</c:v>
                </c:pt>
                <c:pt idx="506">
                  <c:v>0.77461508690290759</c:v>
                </c:pt>
                <c:pt idx="507">
                  <c:v>0.76038690457725777</c:v>
                </c:pt>
                <c:pt idx="508">
                  <c:v>0.74027333028292353</c:v>
                </c:pt>
                <c:pt idx="509">
                  <c:v>0.71945185286861368</c:v>
                </c:pt>
                <c:pt idx="510">
                  <c:v>0.69510299977692602</c:v>
                </c:pt>
                <c:pt idx="511">
                  <c:v>0.66827742889075359</c:v>
                </c:pt>
                <c:pt idx="512">
                  <c:v>0.63793671515432082</c:v>
                </c:pt>
                <c:pt idx="513">
                  <c:v>0.60451895949480172</c:v>
                </c:pt>
                <c:pt idx="514">
                  <c:v>0.56764407327826527</c:v>
                </c:pt>
                <c:pt idx="515">
                  <c:v>0.52819919103708846</c:v>
                </c:pt>
                <c:pt idx="516">
                  <c:v>0.48656332837244431</c:v>
                </c:pt>
                <c:pt idx="517">
                  <c:v>0.44490630075061705</c:v>
                </c:pt>
                <c:pt idx="518">
                  <c:v>0.40422770455153728</c:v>
                </c:pt>
                <c:pt idx="519">
                  <c:v>0.3988654244970895</c:v>
                </c:pt>
                <c:pt idx="520">
                  <c:v>0.98291280402450532</c:v>
                </c:pt>
                <c:pt idx="521">
                  <c:v>0.98291280402450532</c:v>
                </c:pt>
                <c:pt idx="522">
                  <c:v>0.93029680368287238</c:v>
                </c:pt>
                <c:pt idx="523">
                  <c:v>0.9263375056609463</c:v>
                </c:pt>
                <c:pt idx="524">
                  <c:v>0.92410350289481191</c:v>
                </c:pt>
                <c:pt idx="525">
                  <c:v>0.92246702056568797</c:v>
                </c:pt>
                <c:pt idx="526">
                  <c:v>0.92112545075286889</c:v>
                </c:pt>
                <c:pt idx="527">
                  <c:v>0.91996796940552472</c:v>
                </c:pt>
                <c:pt idx="528">
                  <c:v>0.91893925200966098</c:v>
                </c:pt>
                <c:pt idx="529">
                  <c:v>0.91800698533963754</c:v>
                </c:pt>
                <c:pt idx="530">
                  <c:v>0.91702734816235443</c:v>
                </c:pt>
                <c:pt idx="531">
                  <c:v>0.9159585801938982</c:v>
                </c:pt>
                <c:pt idx="532">
                  <c:v>0.91479625559011313</c:v>
                </c:pt>
                <c:pt idx="533">
                  <c:v>0.91353048339815646</c:v>
                </c:pt>
                <c:pt idx="534">
                  <c:v>0.91215088532597044</c:v>
                </c:pt>
                <c:pt idx="535">
                  <c:v>0.91064585001688003</c:v>
                </c:pt>
                <c:pt idx="536">
                  <c:v>0.90900246739993606</c:v>
                </c:pt>
                <c:pt idx="537">
                  <c:v>0.90720635607175415</c:v>
                </c:pt>
                <c:pt idx="538">
                  <c:v>0.90524147856173309</c:v>
                </c:pt>
                <c:pt idx="539">
                  <c:v>0.90308992791247966</c:v>
                </c:pt>
                <c:pt idx="540">
                  <c:v>0.90073168239924084</c:v>
                </c:pt>
                <c:pt idx="541">
                  <c:v>0.89814432232808461</c:v>
                </c:pt>
                <c:pt idx="542">
                  <c:v>0.89530270197348261</c:v>
                </c:pt>
                <c:pt idx="543">
                  <c:v>0.89217856822269714</c:v>
                </c:pt>
                <c:pt idx="544">
                  <c:v>0.88874011591112845</c:v>
                </c:pt>
                <c:pt idx="545">
                  <c:v>0.88495146788830703</c:v>
                </c:pt>
                <c:pt idx="546">
                  <c:v>0.88077206574924116</c:v>
                </c:pt>
                <c:pt idx="547">
                  <c:v>0.87615595477184927</c:v>
                </c:pt>
                <c:pt idx="548">
                  <c:v>0.87105094411999118</c:v>
                </c:pt>
                <c:pt idx="549">
                  <c:v>0.86539762083250626</c:v>
                </c:pt>
                <c:pt idx="550">
                  <c:v>0.8591281939956712</c:v>
                </c:pt>
                <c:pt idx="551">
                  <c:v>0.85216514411116695</c:v>
                </c:pt>
                <c:pt idx="552">
                  <c:v>0.84441965326912749</c:v>
                </c:pt>
                <c:pt idx="553">
                  <c:v>0.8357897958054098</c:v>
                </c:pt>
                <c:pt idx="554">
                  <c:v>0.82615847988380908</c:v>
                </c:pt>
                <c:pt idx="555">
                  <c:v>0.8153911530387663</c:v>
                </c:pt>
                <c:pt idx="556">
                  <c:v>0.80333332837909754</c:v>
                </c:pt>
                <c:pt idx="557">
                  <c:v>0.78980806865897468</c:v>
                </c:pt>
                <c:pt idx="558">
                  <c:v>0.77461508690290759</c:v>
                </c:pt>
                <c:pt idx="559">
                  <c:v>0.76038690457725777</c:v>
                </c:pt>
                <c:pt idx="560">
                  <c:v>0.74027333028292353</c:v>
                </c:pt>
                <c:pt idx="561">
                  <c:v>0.71945185286861368</c:v>
                </c:pt>
                <c:pt idx="562">
                  <c:v>0.69510299977692602</c:v>
                </c:pt>
                <c:pt idx="563">
                  <c:v>0.66827742889075359</c:v>
                </c:pt>
                <c:pt idx="564">
                  <c:v>0.63793671515432082</c:v>
                </c:pt>
                <c:pt idx="565">
                  <c:v>0.60451895949480172</c:v>
                </c:pt>
                <c:pt idx="566">
                  <c:v>0.56764407327826527</c:v>
                </c:pt>
                <c:pt idx="567">
                  <c:v>0.52819919103708846</c:v>
                </c:pt>
                <c:pt idx="568">
                  <c:v>0.48656332837244431</c:v>
                </c:pt>
                <c:pt idx="569">
                  <c:v>0.44490630075061705</c:v>
                </c:pt>
                <c:pt idx="570">
                  <c:v>0.40422770455153728</c:v>
                </c:pt>
                <c:pt idx="571">
                  <c:v>0.3988654244970895</c:v>
                </c:pt>
                <c:pt idx="572">
                  <c:v>0.98291280402450532</c:v>
                </c:pt>
                <c:pt idx="573">
                  <c:v>0.98291280402450532</c:v>
                </c:pt>
                <c:pt idx="574">
                  <c:v>0.93029680368287238</c:v>
                </c:pt>
                <c:pt idx="575">
                  <c:v>0.9263375056609463</c:v>
                </c:pt>
                <c:pt idx="576">
                  <c:v>0.92410350289481191</c:v>
                </c:pt>
                <c:pt idx="577">
                  <c:v>0.92246702056568797</c:v>
                </c:pt>
                <c:pt idx="578">
                  <c:v>0.92112545075286889</c:v>
                </c:pt>
                <c:pt idx="579">
                  <c:v>0.91996796940552472</c:v>
                </c:pt>
                <c:pt idx="580">
                  <c:v>0.91893925200966098</c:v>
                </c:pt>
                <c:pt idx="581">
                  <c:v>0.91800698533963754</c:v>
                </c:pt>
                <c:pt idx="582">
                  <c:v>0.91702734816235443</c:v>
                </c:pt>
                <c:pt idx="583">
                  <c:v>0.9159585801938982</c:v>
                </c:pt>
                <c:pt idx="584">
                  <c:v>0.91479625559011313</c:v>
                </c:pt>
                <c:pt idx="585">
                  <c:v>0.91353048339815646</c:v>
                </c:pt>
                <c:pt idx="586">
                  <c:v>0.91215088532597044</c:v>
                </c:pt>
                <c:pt idx="587">
                  <c:v>0.91064585001688003</c:v>
                </c:pt>
                <c:pt idx="588">
                  <c:v>0.90900246739993606</c:v>
                </c:pt>
                <c:pt idx="589">
                  <c:v>0.90720635607175415</c:v>
                </c:pt>
                <c:pt idx="590">
                  <c:v>0.90524147856173309</c:v>
                </c:pt>
                <c:pt idx="591">
                  <c:v>0.90308992791247966</c:v>
                </c:pt>
                <c:pt idx="592">
                  <c:v>0.90073168239924084</c:v>
                </c:pt>
                <c:pt idx="593">
                  <c:v>0.89814432232808461</c:v>
                </c:pt>
                <c:pt idx="594">
                  <c:v>0.89530270197348261</c:v>
                </c:pt>
                <c:pt idx="595">
                  <c:v>0.89217856822269714</c:v>
                </c:pt>
                <c:pt idx="596">
                  <c:v>0.88874011591112845</c:v>
                </c:pt>
                <c:pt idx="597">
                  <c:v>0.88495146788830703</c:v>
                </c:pt>
                <c:pt idx="598">
                  <c:v>0.88077206574924116</c:v>
                </c:pt>
                <c:pt idx="599">
                  <c:v>0.87615595477184927</c:v>
                </c:pt>
                <c:pt idx="600">
                  <c:v>0.87105094411999118</c:v>
                </c:pt>
                <c:pt idx="601">
                  <c:v>0.86539762083250626</c:v>
                </c:pt>
                <c:pt idx="602">
                  <c:v>0.8591281939956712</c:v>
                </c:pt>
                <c:pt idx="603">
                  <c:v>0.85216514411116695</c:v>
                </c:pt>
                <c:pt idx="604">
                  <c:v>0.84441965326912749</c:v>
                </c:pt>
                <c:pt idx="605">
                  <c:v>0.8357897958054098</c:v>
                </c:pt>
                <c:pt idx="606">
                  <c:v>0.82615847988380908</c:v>
                </c:pt>
                <c:pt idx="607">
                  <c:v>0.8153911530387663</c:v>
                </c:pt>
                <c:pt idx="608">
                  <c:v>0.80333332837909754</c:v>
                </c:pt>
                <c:pt idx="609">
                  <c:v>0.78980806865897468</c:v>
                </c:pt>
                <c:pt idx="610">
                  <c:v>0.77461508690290759</c:v>
                </c:pt>
                <c:pt idx="611">
                  <c:v>0.76038690457725777</c:v>
                </c:pt>
                <c:pt idx="612">
                  <c:v>0.74027333028292353</c:v>
                </c:pt>
                <c:pt idx="613">
                  <c:v>0.71945185286861368</c:v>
                </c:pt>
                <c:pt idx="614">
                  <c:v>0.69510299977692602</c:v>
                </c:pt>
                <c:pt idx="615">
                  <c:v>0.66827742889075359</c:v>
                </c:pt>
                <c:pt idx="616">
                  <c:v>0.63793671515432082</c:v>
                </c:pt>
                <c:pt idx="617">
                  <c:v>0.60451895949480172</c:v>
                </c:pt>
                <c:pt idx="618">
                  <c:v>0.56764407327826527</c:v>
                </c:pt>
                <c:pt idx="619">
                  <c:v>0.52819919103708846</c:v>
                </c:pt>
                <c:pt idx="620">
                  <c:v>0.48656332837244431</c:v>
                </c:pt>
                <c:pt idx="621">
                  <c:v>0.44490630075061705</c:v>
                </c:pt>
                <c:pt idx="622">
                  <c:v>0.40422770455153728</c:v>
                </c:pt>
                <c:pt idx="623">
                  <c:v>0.3988654244970895</c:v>
                </c:pt>
                <c:pt idx="624">
                  <c:v>0.98291280402450532</c:v>
                </c:pt>
                <c:pt idx="625">
                  <c:v>0.98291280402450532</c:v>
                </c:pt>
                <c:pt idx="626">
                  <c:v>0.93029680368287238</c:v>
                </c:pt>
                <c:pt idx="627">
                  <c:v>0.9263375056609463</c:v>
                </c:pt>
                <c:pt idx="628">
                  <c:v>0.92410350289481191</c:v>
                </c:pt>
                <c:pt idx="629">
                  <c:v>0.92246702056568797</c:v>
                </c:pt>
                <c:pt idx="630">
                  <c:v>0.92112545075286889</c:v>
                </c:pt>
                <c:pt idx="631">
                  <c:v>0.91996796940552472</c:v>
                </c:pt>
                <c:pt idx="632">
                  <c:v>0.91893925200966098</c:v>
                </c:pt>
                <c:pt idx="633">
                  <c:v>0.91800698533963754</c:v>
                </c:pt>
                <c:pt idx="634">
                  <c:v>0.91702734816235443</c:v>
                </c:pt>
                <c:pt idx="635">
                  <c:v>0.9159585801938982</c:v>
                </c:pt>
                <c:pt idx="636">
                  <c:v>0.91479625559011313</c:v>
                </c:pt>
                <c:pt idx="637">
                  <c:v>0.91353048339815646</c:v>
                </c:pt>
                <c:pt idx="638">
                  <c:v>0.91215088532597044</c:v>
                </c:pt>
                <c:pt idx="639">
                  <c:v>0.91064585001688003</c:v>
                </c:pt>
                <c:pt idx="640">
                  <c:v>0.90900246739993606</c:v>
                </c:pt>
                <c:pt idx="641">
                  <c:v>0.90720635607175415</c:v>
                </c:pt>
                <c:pt idx="642">
                  <c:v>0.90524147856173309</c:v>
                </c:pt>
                <c:pt idx="643">
                  <c:v>0.90308992791247966</c:v>
                </c:pt>
                <c:pt idx="644">
                  <c:v>0.90073168239924084</c:v>
                </c:pt>
                <c:pt idx="645">
                  <c:v>0.89814432232808461</c:v>
                </c:pt>
                <c:pt idx="646">
                  <c:v>0.89530270197348261</c:v>
                </c:pt>
                <c:pt idx="647">
                  <c:v>0.89217856822269714</c:v>
                </c:pt>
                <c:pt idx="648">
                  <c:v>0.88874011591112845</c:v>
                </c:pt>
                <c:pt idx="649">
                  <c:v>0.88495146788830703</c:v>
                </c:pt>
                <c:pt idx="650">
                  <c:v>0.88077206574924116</c:v>
                </c:pt>
                <c:pt idx="651">
                  <c:v>0.87615595477184927</c:v>
                </c:pt>
                <c:pt idx="652">
                  <c:v>0.87105094411999118</c:v>
                </c:pt>
                <c:pt idx="653">
                  <c:v>0.86539762083250626</c:v>
                </c:pt>
                <c:pt idx="654">
                  <c:v>0.8591281939956712</c:v>
                </c:pt>
                <c:pt idx="655">
                  <c:v>0.85216514411116695</c:v>
                </c:pt>
                <c:pt idx="656">
                  <c:v>0.84441965326912749</c:v>
                </c:pt>
                <c:pt idx="657">
                  <c:v>0.8357897958054098</c:v>
                </c:pt>
                <c:pt idx="658">
                  <c:v>0.82615847988380908</c:v>
                </c:pt>
                <c:pt idx="659">
                  <c:v>0.8153911530387663</c:v>
                </c:pt>
                <c:pt idx="660">
                  <c:v>0.80333332837909754</c:v>
                </c:pt>
                <c:pt idx="661">
                  <c:v>0.78980806865897468</c:v>
                </c:pt>
                <c:pt idx="662">
                  <c:v>0.77461508690290759</c:v>
                </c:pt>
                <c:pt idx="663">
                  <c:v>0.76038690457725777</c:v>
                </c:pt>
                <c:pt idx="664">
                  <c:v>0.74027333028292353</c:v>
                </c:pt>
                <c:pt idx="665">
                  <c:v>0.71945185286861368</c:v>
                </c:pt>
                <c:pt idx="666">
                  <c:v>0.69510299977692602</c:v>
                </c:pt>
                <c:pt idx="667">
                  <c:v>0.66827742889075359</c:v>
                </c:pt>
                <c:pt idx="668">
                  <c:v>0.63793671515432082</c:v>
                </c:pt>
                <c:pt idx="669">
                  <c:v>0.60451895949480172</c:v>
                </c:pt>
                <c:pt idx="670">
                  <c:v>0.56764407327826527</c:v>
                </c:pt>
                <c:pt idx="671">
                  <c:v>0.52819919103708846</c:v>
                </c:pt>
                <c:pt idx="672">
                  <c:v>0.48656332837244431</c:v>
                </c:pt>
                <c:pt idx="673">
                  <c:v>0.44490630075061705</c:v>
                </c:pt>
                <c:pt idx="674">
                  <c:v>0.40422770455153728</c:v>
                </c:pt>
                <c:pt idx="675">
                  <c:v>0.3988654244970895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1-40CC-9473-2A4506F08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06960"/>
        <c:axId val="720707520"/>
      </c:scatterChart>
      <c:valAx>
        <c:axId val="720706960"/>
        <c:scaling>
          <c:orientation val="minMax"/>
          <c:max val="3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7520"/>
        <c:crosses val="autoZero"/>
        <c:crossBetween val="midCat"/>
        <c:majorUnit val="8"/>
      </c:valAx>
      <c:valAx>
        <c:axId val="7207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54054357996747"/>
          <c:y val="5.4236293379994166E-2"/>
          <c:w val="0.81646091074156202"/>
          <c:h val="0.818772965879265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V_SG_1_V_SL_1_1cP!$Y$7:$Y$47</c:f>
              <c:numCache>
                <c:formatCode>General</c:formatCode>
                <c:ptCount val="41"/>
                <c:pt idx="0">
                  <c:v>0.17</c:v>
                </c:pt>
                <c:pt idx="1">
                  <c:v>0.16900000000000001</c:v>
                </c:pt>
                <c:pt idx="2">
                  <c:v>0.16800000000000001</c:v>
                </c:pt>
                <c:pt idx="3">
                  <c:v>0.16700000000000001</c:v>
                </c:pt>
                <c:pt idx="4">
                  <c:v>0.16600000000000001</c:v>
                </c:pt>
                <c:pt idx="5">
                  <c:v>0.16500000000000001</c:v>
                </c:pt>
                <c:pt idx="6">
                  <c:v>0.16400000000000001</c:v>
                </c:pt>
                <c:pt idx="7">
                  <c:v>0.16300000000000001</c:v>
                </c:pt>
                <c:pt idx="8">
                  <c:v>0.16200000000000001</c:v>
                </c:pt>
                <c:pt idx="9">
                  <c:v>0.161</c:v>
                </c:pt>
                <c:pt idx="10">
                  <c:v>0.16</c:v>
                </c:pt>
                <c:pt idx="11">
                  <c:v>0.159</c:v>
                </c:pt>
                <c:pt idx="12">
                  <c:v>0.158</c:v>
                </c:pt>
                <c:pt idx="13">
                  <c:v>0.157</c:v>
                </c:pt>
                <c:pt idx="14">
                  <c:v>0.156</c:v>
                </c:pt>
                <c:pt idx="15">
                  <c:v>0.155</c:v>
                </c:pt>
                <c:pt idx="16">
                  <c:v>0.154</c:v>
                </c:pt>
                <c:pt idx="17">
                  <c:v>0.153</c:v>
                </c:pt>
                <c:pt idx="18">
                  <c:v>0.152</c:v>
                </c:pt>
                <c:pt idx="19">
                  <c:v>0.151</c:v>
                </c:pt>
                <c:pt idx="20">
                  <c:v>0.15</c:v>
                </c:pt>
                <c:pt idx="21">
                  <c:v>0.14899999999999999</c:v>
                </c:pt>
                <c:pt idx="22">
                  <c:v>0.14799999999999999</c:v>
                </c:pt>
                <c:pt idx="23">
                  <c:v>0.14699999999999999</c:v>
                </c:pt>
                <c:pt idx="24">
                  <c:v>0.14599999999999999</c:v>
                </c:pt>
                <c:pt idx="25">
                  <c:v>0.14499999999999999</c:v>
                </c:pt>
                <c:pt idx="26">
                  <c:v>0.14399999999999999</c:v>
                </c:pt>
                <c:pt idx="27">
                  <c:v>0.14299999999999999</c:v>
                </c:pt>
                <c:pt idx="28">
                  <c:v>0.14199999999999999</c:v>
                </c:pt>
                <c:pt idx="29">
                  <c:v>0.14099999999999999</c:v>
                </c:pt>
                <c:pt idx="30">
                  <c:v>0.13999999999999999</c:v>
                </c:pt>
                <c:pt idx="31">
                  <c:v>0.13899999999999998</c:v>
                </c:pt>
                <c:pt idx="32">
                  <c:v>0.13799999999999998</c:v>
                </c:pt>
                <c:pt idx="33">
                  <c:v>0.13699999999999998</c:v>
                </c:pt>
                <c:pt idx="34">
                  <c:v>0.13599999999999998</c:v>
                </c:pt>
                <c:pt idx="35">
                  <c:v>0.13499999999999998</c:v>
                </c:pt>
                <c:pt idx="36">
                  <c:v>0.13399999999999998</c:v>
                </c:pt>
                <c:pt idx="37">
                  <c:v>0.13299999999999998</c:v>
                </c:pt>
                <c:pt idx="38">
                  <c:v>0.13199999999999998</c:v>
                </c:pt>
                <c:pt idx="39">
                  <c:v>0.13099999999999998</c:v>
                </c:pt>
                <c:pt idx="40">
                  <c:v>0.12999999999999998</c:v>
                </c:pt>
              </c:numCache>
            </c:numRef>
          </c:xVal>
          <c:yVal>
            <c:numRef>
              <c:f>V_SG_1_V_SL_1_1cP!$Z$7:$Z$47</c:f>
              <c:numCache>
                <c:formatCode>General</c:formatCode>
                <c:ptCount val="41"/>
                <c:pt idx="0">
                  <c:v>0.61375326617430559</c:v>
                </c:pt>
                <c:pt idx="1">
                  <c:v>0.63182409492429736</c:v>
                </c:pt>
                <c:pt idx="2">
                  <c:v>0.65036926907051795</c:v>
                </c:pt>
                <c:pt idx="3">
                  <c:v>0.66940211740355671</c:v>
                </c:pt>
                <c:pt idx="4">
                  <c:v>0.68893641936303918</c:v>
                </c:pt>
                <c:pt idx="5">
                  <c:v>0.70898642289007208</c:v>
                </c:pt>
                <c:pt idx="6">
                  <c:v>0.72956686309859675</c:v>
                </c:pt>
                <c:pt idx="7">
                  <c:v>0.7506929818083109</c:v>
                </c:pt>
                <c:pt idx="8">
                  <c:v>0.77238054798433431</c:v>
                </c:pt>
                <c:pt idx="9">
                  <c:v>0.794645879131472</c:v>
                </c:pt>
                <c:pt idx="10">
                  <c:v>0.81750586369376832</c:v>
                </c:pt>
                <c:pt idx="11">
                  <c:v>0.84097798451302264</c:v>
                </c:pt>
                <c:pt idx="12">
                  <c:v>0.86508034340326168</c:v>
                </c:pt>
                <c:pt idx="13">
                  <c:v>0.8898316869014754</c:v>
                </c:pt>
                <c:pt idx="14">
                  <c:v>0.9152514332587609</c:v>
                </c:pt>
                <c:pt idx="15">
                  <c:v>0.94135970073974351</c:v>
                </c:pt>
                <c:pt idx="16">
                  <c:v>0.96817733730254663</c:v>
                </c:pt>
                <c:pt idx="17">
                  <c:v>0.99572595173586054</c:v>
                </c:pt>
                <c:pt idx="18">
                  <c:v>1.0240279463345863</c:v>
                </c:pt>
                <c:pt idx="19">
                  <c:v>1.0531065512006175</c:v>
                </c:pt>
                <c:pt idx="20">
                  <c:v>1.0829858602606939</c:v>
                </c:pt>
                <c:pt idx="21">
                  <c:v>1.1136908690993075</c:v>
                </c:pt>
                <c:pt idx="22">
                  <c:v>1.1452475147107435</c:v>
                </c:pt>
                <c:pt idx="23">
                  <c:v>1.1776827172811768</c:v>
                </c:pt>
                <c:pt idx="24">
                  <c:v>1.2110244241188441</c:v>
                </c:pt>
                <c:pt idx="25">
                  <c:v>1.2453016558582066</c:v>
                </c:pt>
                <c:pt idx="26">
                  <c:v>1.2805445550720826</c:v>
                </c:pt>
                <c:pt idx="27">
                  <c:v>1.3167844374348272</c:v>
                </c:pt>
                <c:pt idx="28">
                  <c:v>1.3540538455890561</c:v>
                </c:pt>
                <c:pt idx="29">
                  <c:v>1.3923866058787868</c:v>
                </c:pt>
                <c:pt idx="30">
                  <c:v>1.431817888122745</c:v>
                </c:pt>
                <c:pt idx="31">
                  <c:v>1.4723842686136757</c:v>
                </c:pt>
                <c:pt idx="32">
                  <c:v>1.5141237965419654</c:v>
                </c:pt>
                <c:pt idx="33">
                  <c:v>1.5570760640559878</c:v>
                </c:pt>
                <c:pt idx="34">
                  <c:v>1.6012822801860036</c:v>
                </c:pt>
                <c:pt idx="35">
                  <c:v>1.6467853488747164</c:v>
                </c:pt>
                <c:pt idx="36">
                  <c:v>1.6936299513746107</c:v>
                </c:pt>
                <c:pt idx="37">
                  <c:v>1.741862633290769</c:v>
                </c:pt>
                <c:pt idx="38">
                  <c:v>1.7915318965679832</c:v>
                </c:pt>
                <c:pt idx="39">
                  <c:v>1.8426882967424443</c:v>
                </c:pt>
                <c:pt idx="40">
                  <c:v>1.8953845458019636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C-4D6D-BFF7-8686F8C4F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09760"/>
        <c:axId val="720710320"/>
      </c:scatterChart>
      <c:valAx>
        <c:axId val="720709760"/>
        <c:scaling>
          <c:orientation val="minMax"/>
          <c:max val="0.17"/>
          <c:min val="0.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0320"/>
        <c:crosses val="autoZero"/>
        <c:crossBetween val="midCat"/>
      </c:valAx>
      <c:valAx>
        <c:axId val="72071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dh/dz numerator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0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7753718285214"/>
          <c:y val="8.0308034412365115E-2"/>
          <c:w val="0.83192979002624656"/>
          <c:h val="0.74040536599591711"/>
        </c:manualLayout>
      </c:layout>
      <c:scatterChart>
        <c:scatterStyle val="lineMarker"/>
        <c:varyColors val="0"/>
        <c:ser>
          <c:idx val="0"/>
          <c:order val="0"/>
          <c:tx>
            <c:v>Taitel &amp; Barnea (1990)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V_SG_1_V_SL_1_1cP!$Q$56:$Q$300</c:f>
              <c:numCache>
                <c:formatCode>General</c:formatCode>
                <c:ptCount val="245"/>
                <c:pt idx="0">
                  <c:v>0</c:v>
                </c:pt>
                <c:pt idx="1">
                  <c:v>9.9999999999999995E-7</c:v>
                </c:pt>
                <c:pt idx="2">
                  <c:v>5.4989041574300072E-4</c:v>
                </c:pt>
                <c:pt idx="3">
                  <c:v>2.5954702393724207E-3</c:v>
                </c:pt>
                <c:pt idx="4">
                  <c:v>5.012098028024721E-3</c:v>
                </c:pt>
                <c:pt idx="5">
                  <c:v>9.1461796584276292E-3</c:v>
                </c:pt>
                <c:pt idx="6">
                  <c:v>1.4464405515152127E-2</c:v>
                </c:pt>
                <c:pt idx="7">
                  <c:v>2.4916082410517227E-2</c:v>
                </c:pt>
                <c:pt idx="8">
                  <c:v>4.0100589395595354E-2</c:v>
                </c:pt>
                <c:pt idx="9">
                  <c:v>6.7906937615651808E-2</c:v>
                </c:pt>
                <c:pt idx="10">
                  <c:v>0.11214811594240734</c:v>
                </c:pt>
                <c:pt idx="11">
                  <c:v>0.19543401586452824</c:v>
                </c:pt>
                <c:pt idx="12">
                  <c:v>0.33225043882282573</c:v>
                </c:pt>
                <c:pt idx="13">
                  <c:v>0.60704984093031933</c:v>
                </c:pt>
                <c:pt idx="14">
                  <c:v>1.0536564988861641</c:v>
                </c:pt>
                <c:pt idx="15">
                  <c:v>1.1353011649994578</c:v>
                </c:pt>
              </c:numCache>
            </c:numRef>
          </c:xVal>
          <c:yVal>
            <c:numRef>
              <c:f>V_SG_1_V_SL_1_1cP!$T$56:$T$300</c:f>
              <c:numCache>
                <c:formatCode>General</c:formatCode>
                <c:ptCount val="245"/>
                <c:pt idx="0">
                  <c:v>0.77068498257014872</c:v>
                </c:pt>
                <c:pt idx="1">
                  <c:v>0.77067300983892906</c:v>
                </c:pt>
                <c:pt idx="2">
                  <c:v>0.76448695437332481</c:v>
                </c:pt>
                <c:pt idx="3">
                  <c:v>0.7462179928210797</c:v>
                </c:pt>
                <c:pt idx="4">
                  <c:v>0.73027266839631366</c:v>
                </c:pt>
                <c:pt idx="5">
                  <c:v>0.7101552774493437</c:v>
                </c:pt>
                <c:pt idx="6">
                  <c:v>0.69122254011085482</c:v>
                </c:pt>
                <c:pt idx="7">
                  <c:v>0.66499411019811316</c:v>
                </c:pt>
                <c:pt idx="8">
                  <c:v>0.63909697400592513</c:v>
                </c:pt>
                <c:pt idx="9">
                  <c:v>0.60781973946339873</c:v>
                </c:pt>
                <c:pt idx="10">
                  <c:v>0.57612627611480016</c:v>
                </c:pt>
                <c:pt idx="11">
                  <c:v>0.53973940308666546</c:v>
                </c:pt>
                <c:pt idx="12">
                  <c:v>0.50459598065778399</c:v>
                </c:pt>
                <c:pt idx="13">
                  <c:v>0.4654409702187336</c:v>
                </c:pt>
                <c:pt idx="14">
                  <c:v>0.43134659976949657</c:v>
                </c:pt>
                <c:pt idx="15">
                  <c:v>0.42690955700104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F-4547-84B4-846ABD630E02}"/>
            </c:ext>
          </c:extLst>
        </c:ser>
        <c:ser>
          <c:idx val="1"/>
          <c:order val="1"/>
          <c:tx>
            <c:v>Dukler &amp; Hubbard, 1975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2"/>
                </a:solidFill>
              </a:ln>
              <a:effectLst/>
            </c:spPr>
          </c:marker>
          <c:xVal>
            <c:numRef>
              <c:f>V_SG_1_V_SL_1_1cP!$J$56:$J$228</c:f>
              <c:numCache>
                <c:formatCode>General</c:formatCode>
                <c:ptCount val="173"/>
                <c:pt idx="0">
                  <c:v>0</c:v>
                </c:pt>
                <c:pt idx="1">
                  <c:v>1.0000000000000001E-5</c:v>
                </c:pt>
                <c:pt idx="2">
                  <c:v>1.2721719185981511E-2</c:v>
                </c:pt>
                <c:pt idx="3">
                  <c:v>3.1961953152062572E-2</c:v>
                </c:pt>
                <c:pt idx="4">
                  <c:v>6.6808471873563646E-2</c:v>
                </c:pt>
                <c:pt idx="5">
                  <c:v>0.12880618509528036</c:v>
                </c:pt>
                <c:pt idx="6">
                  <c:v>0.24789321520657626</c:v>
                </c:pt>
                <c:pt idx="7">
                  <c:v>0.47760882151037481</c:v>
                </c:pt>
                <c:pt idx="8">
                  <c:v>0.90980207159501292</c:v>
                </c:pt>
                <c:pt idx="9">
                  <c:v>1.1353011649994578</c:v>
                </c:pt>
              </c:numCache>
            </c:numRef>
          </c:xVal>
          <c:yVal>
            <c:numRef>
              <c:f>V_SG_1_V_SL_1_1cP!$L$56:$L$228</c:f>
              <c:numCache>
                <c:formatCode>General</c:formatCode>
                <c:ptCount val="173"/>
                <c:pt idx="0">
                  <c:v>0.77068498257014872</c:v>
                </c:pt>
                <c:pt idx="1">
                  <c:v>0.77065953262954456</c:v>
                </c:pt>
                <c:pt idx="2">
                  <c:v>0.74325962488205655</c:v>
                </c:pt>
                <c:pt idx="3">
                  <c:v>0.71292918657890703</c:v>
                </c:pt>
                <c:pt idx="4">
                  <c:v>0.67387079466812094</c:v>
                </c:pt>
                <c:pt idx="5">
                  <c:v>0.6270236803784518</c:v>
                </c:pt>
                <c:pt idx="6">
                  <c:v>0.5705000367148334</c:v>
                </c:pt>
                <c:pt idx="7">
                  <c:v>0.50806743098689366</c:v>
                </c:pt>
                <c:pt idx="8">
                  <c:v>0.44693418711302774</c:v>
                </c:pt>
                <c:pt idx="9">
                  <c:v>0.42708230912643202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F-4547-84B4-846ABD630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13120"/>
        <c:axId val="720713680"/>
      </c:scatterChart>
      <c:valAx>
        <c:axId val="72071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[m]</a:t>
                </a:r>
              </a:p>
            </c:rich>
          </c:tx>
          <c:layout>
            <c:manualLayout>
              <c:xMode val="edge"/>
              <c:yMode val="edge"/>
              <c:x val="0.50774015748031498"/>
              <c:y val="0.91828703703703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3680"/>
        <c:crosses val="autoZero"/>
        <c:crossBetween val="midCat"/>
      </c:valAx>
      <c:valAx>
        <c:axId val="72071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layout>
            <c:manualLayout>
              <c:xMode val="edge"/>
              <c:yMode val="edge"/>
              <c:x val="2.208223972003499E-3"/>
              <c:y val="0.364005905511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3120"/>
        <c:crossesAt val="-16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491163604549429"/>
          <c:y val="0.10243000874890641"/>
          <c:w val="0.4735352143482065"/>
          <c:h val="0.18988043161271506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2866022213522348"/>
          <c:y val="0.4657798137630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56856109408826"/>
          <c:y val="2.9285313493185302E-2"/>
          <c:w val="0.26772010329160489"/>
          <c:h val="0.7786508528008361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x"/>
            <c:size val="14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V_SG_1_V_SL_1_1cP!$D$5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V_SG_1_V_SL_1_1cP!$C$5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6-48EC-AB0E-51888DC00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15920"/>
        <c:axId val="720716480"/>
      </c:scatterChart>
      <c:valAx>
        <c:axId val="720715920"/>
        <c:scaling>
          <c:logBase val="10"/>
          <c:orientation val="minMax"/>
          <c:max val="100"/>
          <c:min val="1.0000000000000002E-2"/>
        </c:scaling>
        <c:delete val="0"/>
        <c:axPos val="b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6480"/>
        <c:crossesAt val="1.0000000000000002E-3"/>
        <c:crossBetween val="midCat"/>
      </c:valAx>
      <c:valAx>
        <c:axId val="720716480"/>
        <c:scaling>
          <c:logBase val="10"/>
          <c:orientation val="minMax"/>
          <c:max val="10"/>
          <c:min val="1.0000000000000002E-3"/>
        </c:scaling>
        <c:delete val="0"/>
        <c:axPos val="l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592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V_SG_1_V_SL_1_1cP!$Q$7:$Q$33</c:f>
              <c:numCache>
                <c:formatCode>General</c:formatCode>
                <c:ptCount val="27"/>
                <c:pt idx="0">
                  <c:v>1</c:v>
                </c:pt>
                <c:pt idx="1">
                  <c:v>0.99950000000000006</c:v>
                </c:pt>
                <c:pt idx="2">
                  <c:v>0.99900000000000011</c:v>
                </c:pt>
                <c:pt idx="3">
                  <c:v>0.99850000000000017</c:v>
                </c:pt>
                <c:pt idx="4">
                  <c:v>0.99800000000000022</c:v>
                </c:pt>
                <c:pt idx="5">
                  <c:v>0.99750000000000028</c:v>
                </c:pt>
                <c:pt idx="6">
                  <c:v>0.99700000000000033</c:v>
                </c:pt>
                <c:pt idx="7">
                  <c:v>0.99650000000000039</c:v>
                </c:pt>
                <c:pt idx="8">
                  <c:v>0.99600000000000044</c:v>
                </c:pt>
                <c:pt idx="9">
                  <c:v>0.9955000000000005</c:v>
                </c:pt>
                <c:pt idx="10">
                  <c:v>0.99500000000000055</c:v>
                </c:pt>
                <c:pt idx="11">
                  <c:v>0.99450000000000061</c:v>
                </c:pt>
                <c:pt idx="12">
                  <c:v>0.99400000000000066</c:v>
                </c:pt>
                <c:pt idx="13">
                  <c:v>0.99350000000000072</c:v>
                </c:pt>
                <c:pt idx="14">
                  <c:v>0.99300000000000077</c:v>
                </c:pt>
                <c:pt idx="15">
                  <c:v>0.99250000000000083</c:v>
                </c:pt>
                <c:pt idx="16">
                  <c:v>0.99200000000000088</c:v>
                </c:pt>
                <c:pt idx="17">
                  <c:v>0.99150000000000094</c:v>
                </c:pt>
                <c:pt idx="18">
                  <c:v>0.99100000000000099</c:v>
                </c:pt>
                <c:pt idx="19">
                  <c:v>0.99050000000000105</c:v>
                </c:pt>
                <c:pt idx="20">
                  <c:v>0.9900000000000011</c:v>
                </c:pt>
                <c:pt idx="21">
                  <c:v>0.98950000000000116</c:v>
                </c:pt>
                <c:pt idx="22">
                  <c:v>0.98900000000000121</c:v>
                </c:pt>
                <c:pt idx="23">
                  <c:v>0.98850000000000127</c:v>
                </c:pt>
                <c:pt idx="24">
                  <c:v>0.98800000000000132</c:v>
                </c:pt>
                <c:pt idx="25">
                  <c:v>0.98750000000000138</c:v>
                </c:pt>
                <c:pt idx="26">
                  <c:v>0.98700000000000143</c:v>
                </c:pt>
              </c:numCache>
            </c:numRef>
          </c:xVal>
          <c:yVal>
            <c:numRef>
              <c:f>V_SG_1_V_SL_1_1cP!$R$7:$R$33</c:f>
              <c:numCache>
                <c:formatCode>General</c:formatCode>
                <c:ptCount val="27"/>
                <c:pt idx="0">
                  <c:v>-11.172899914099824</c:v>
                </c:pt>
                <c:pt idx="1">
                  <c:v>-10.550658730488818</c:v>
                </c:pt>
                <c:pt idx="2">
                  <c:v>-10.292777257491608</c:v>
                </c:pt>
                <c:pt idx="3">
                  <c:v>-10.094780027941422</c:v>
                </c:pt>
                <c:pt idx="4">
                  <c:v>-9.9277497888913047</c:v>
                </c:pt>
                <c:pt idx="5">
                  <c:v>-9.7804868491585815</c:v>
                </c:pt>
                <c:pt idx="6">
                  <c:v>-9.6472479073553767</c:v>
                </c:pt>
                <c:pt idx="7">
                  <c:v>-9.5246215253013613</c:v>
                </c:pt>
                <c:pt idx="8">
                  <c:v>-9.4103851900165072</c:v>
                </c:pt>
                <c:pt idx="9">
                  <c:v>-9.3029952988201821</c:v>
                </c:pt>
                <c:pt idx="10">
                  <c:v>-9.2013280821210692</c:v>
                </c:pt>
                <c:pt idx="11">
                  <c:v>-9.1045352750314361</c:v>
                </c:pt>
                <c:pt idx="12">
                  <c:v>-9.0119579312636251</c:v>
                </c:pt>
                <c:pt idx="13">
                  <c:v>-8.9230720827348087</c:v>
                </c:pt>
                <c:pt idx="14">
                  <c:v>-8.837452945169197</c:v>
                </c:pt>
                <c:pt idx="15">
                  <c:v>-8.7547504746228686</c:v>
                </c:pt>
                <c:pt idx="16">
                  <c:v>-8.6746721630145576</c:v>
                </c:pt>
                <c:pt idx="17">
                  <c:v>-8.5969706131060359</c:v>
                </c:pt>
                <c:pt idx="18">
                  <c:v>-8.5214343638998908</c:v>
                </c:pt>
                <c:pt idx="19">
                  <c:v>-8.4478809839435058</c:v>
                </c:pt>
                <c:pt idx="20">
                  <c:v>-8.3761517828323644</c:v>
                </c:pt>
                <c:pt idx="21">
                  <c:v>-8.3061077003433521</c:v>
                </c:pt>
                <c:pt idx="22">
                  <c:v>-8.2376260677346309</c:v>
                </c:pt>
                <c:pt idx="23">
                  <c:v>-8.1705980251913655</c:v>
                </c:pt>
                <c:pt idx="24">
                  <c:v>-8.1049264399170511</c:v>
                </c:pt>
                <c:pt idx="25">
                  <c:v>-8.0405242111309985</c:v>
                </c:pt>
                <c:pt idx="26">
                  <c:v>-7.9773128775643016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A-4233-94B7-E0DE017C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18720"/>
        <c:axId val="720719280"/>
      </c:scatterChart>
      <c:valAx>
        <c:axId val="720718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en-US" baseline="-25000"/>
                  <a:t>F</a:t>
                </a:r>
                <a:r>
                  <a:rPr lang="en-US"/>
                  <a:t>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9280"/>
        <c:crosses val="autoZero"/>
        <c:crossBetween val="midCat"/>
      </c:valAx>
      <c:valAx>
        <c:axId val="7207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dh/dz denominator</a:t>
                </a:r>
              </a:p>
            </c:rich>
          </c:tx>
          <c:layout>
            <c:manualLayout>
              <c:xMode val="edge"/>
              <c:yMode val="edge"/>
              <c:x val="1.1111111111111112E-2"/>
              <c:y val="0.207985928842228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1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1239479440069993"/>
                  <c:y val="-0.2035589822105570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V_SG_1_V_SL_1_1cP!$A$78:$A$79</c:f>
              <c:numCache>
                <c:formatCode>General</c:formatCode>
                <c:ptCount val="2"/>
                <c:pt idx="0">
                  <c:v>0.38100000000000001</c:v>
                </c:pt>
                <c:pt idx="1">
                  <c:v>0.141106652</c:v>
                </c:pt>
              </c:numCache>
            </c:numRef>
          </c:xVal>
          <c:yVal>
            <c:numRef>
              <c:f>V_SG_1_V_SL_1_1cP!$C$78:$C$79</c:f>
              <c:numCache>
                <c:formatCode>General</c:formatCode>
                <c:ptCount val="2"/>
                <c:pt idx="0">
                  <c:v>1.2097885985625885</c:v>
                </c:pt>
                <c:pt idx="1">
                  <c:v>1.0098189476467287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AD-4C6C-9DCE-9382D0813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721520"/>
        <c:axId val="720722080"/>
      </c:scatterChart>
      <c:valAx>
        <c:axId val="72072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22080"/>
        <c:crosses val="autoZero"/>
        <c:crossBetween val="midCat"/>
      </c:valAx>
      <c:valAx>
        <c:axId val="72072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2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2866022213522348"/>
          <c:y val="0.4657798137630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271941103970308"/>
          <c:y val="5.3084282079617587E-2"/>
          <c:w val="0.2440607538898418"/>
          <c:h val="0.71065379969674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x"/>
            <c:size val="14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V_SG_1_V_SL_1_1cP!$D$5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V_SG_1_V_SL_1_1cP!$C$5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1-4DB6-A346-07325F22E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012832"/>
        <c:axId val="722013392"/>
      </c:scatterChart>
      <c:valAx>
        <c:axId val="722012832"/>
        <c:scaling>
          <c:logBase val="10"/>
          <c:orientation val="minMax"/>
          <c:max val="100"/>
          <c:min val="1.0000000000000002E-2"/>
        </c:scaling>
        <c:delete val="0"/>
        <c:axPos val="b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13392"/>
        <c:crossesAt val="1.0000000000000002E-3"/>
        <c:crossBetween val="midCat"/>
      </c:valAx>
      <c:valAx>
        <c:axId val="722013392"/>
        <c:scaling>
          <c:logBase val="10"/>
          <c:orientation val="minMax"/>
          <c:max val="10"/>
          <c:min val="1.0000000000000002E-3"/>
        </c:scaling>
        <c:delete val="0"/>
        <c:axPos val="l"/>
        <c:min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12832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256174708930614"/>
          <c:y val="4.1666666666666664E-2"/>
          <c:w val="0.73581432128676239"/>
          <c:h val="0.77096754951085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xVal>
            <c:numRef>
              <c:f>V_SG_1_V_SL_1_1cP!$AA$56:$AA$731</c:f>
              <c:numCache>
                <c:formatCode>General</c:formatCode>
                <c:ptCount val="676"/>
                <c:pt idx="0">
                  <c:v>30.105662832572801</c:v>
                </c:pt>
                <c:pt idx="1">
                  <c:v>28.9626628325728</c:v>
                </c:pt>
                <c:pt idx="2">
                  <c:v>28.9626628325728</c:v>
                </c:pt>
                <c:pt idx="3">
                  <c:v>28.962661832572802</c:v>
                </c:pt>
                <c:pt idx="4">
                  <c:v>28.962112942157059</c:v>
                </c:pt>
                <c:pt idx="5">
                  <c:v>28.960067362333429</c:v>
                </c:pt>
                <c:pt idx="6">
                  <c:v>28.957650734544774</c:v>
                </c:pt>
                <c:pt idx="7">
                  <c:v>28.953516652914374</c:v>
                </c:pt>
                <c:pt idx="8">
                  <c:v>28.948198427057648</c:v>
                </c:pt>
                <c:pt idx="9">
                  <c:v>28.937746750162283</c:v>
                </c:pt>
                <c:pt idx="10">
                  <c:v>28.922562243177204</c:v>
                </c:pt>
                <c:pt idx="11">
                  <c:v>28.89475589495715</c:v>
                </c:pt>
                <c:pt idx="12">
                  <c:v>28.850514716630393</c:v>
                </c:pt>
                <c:pt idx="13">
                  <c:v>28.767228816708272</c:v>
                </c:pt>
                <c:pt idx="14">
                  <c:v>28.630412393749975</c:v>
                </c:pt>
                <c:pt idx="15">
                  <c:v>28.355612991642481</c:v>
                </c:pt>
                <c:pt idx="16">
                  <c:v>27.909006333686637</c:v>
                </c:pt>
                <c:pt idx="17">
                  <c:v>27.827361667573342</c:v>
                </c:pt>
                <c:pt idx="18">
                  <c:v>27.827361667573342</c:v>
                </c:pt>
                <c:pt idx="19">
                  <c:v>26.684361667573341</c:v>
                </c:pt>
                <c:pt idx="20">
                  <c:v>26.684361667573341</c:v>
                </c:pt>
                <c:pt idx="21">
                  <c:v>26.684360667573344</c:v>
                </c:pt>
                <c:pt idx="22">
                  <c:v>26.683811777157601</c:v>
                </c:pt>
                <c:pt idx="23">
                  <c:v>26.681766197333971</c:v>
                </c:pt>
                <c:pt idx="24">
                  <c:v>26.679349569545316</c:v>
                </c:pt>
                <c:pt idx="25">
                  <c:v>26.675215487914915</c:v>
                </c:pt>
                <c:pt idx="26">
                  <c:v>26.669897262058189</c:v>
                </c:pt>
                <c:pt idx="27">
                  <c:v>26.659445585162825</c:v>
                </c:pt>
                <c:pt idx="28">
                  <c:v>26.644261078177749</c:v>
                </c:pt>
                <c:pt idx="29">
                  <c:v>26.616454729957692</c:v>
                </c:pt>
                <c:pt idx="30">
                  <c:v>26.572213551630934</c:v>
                </c:pt>
                <c:pt idx="31">
                  <c:v>26.488927651708813</c:v>
                </c:pt>
                <c:pt idx="32">
                  <c:v>26.352111228750516</c:v>
                </c:pt>
                <c:pt idx="33">
                  <c:v>26.077311826643022</c:v>
                </c:pt>
                <c:pt idx="34">
                  <c:v>25.630705168687179</c:v>
                </c:pt>
                <c:pt idx="35">
                  <c:v>25.549060502573884</c:v>
                </c:pt>
                <c:pt idx="36">
                  <c:v>25.549060502573887</c:v>
                </c:pt>
                <c:pt idx="37">
                  <c:v>24.406060502573887</c:v>
                </c:pt>
                <c:pt idx="38">
                  <c:v>24.406060502573887</c:v>
                </c:pt>
                <c:pt idx="39">
                  <c:v>24.406059502573889</c:v>
                </c:pt>
                <c:pt idx="40">
                  <c:v>24.405510612158146</c:v>
                </c:pt>
                <c:pt idx="41">
                  <c:v>24.403465032334516</c:v>
                </c:pt>
                <c:pt idx="42">
                  <c:v>24.401048404545861</c:v>
                </c:pt>
                <c:pt idx="43">
                  <c:v>24.39691432291546</c:v>
                </c:pt>
                <c:pt idx="44">
                  <c:v>24.391596097058734</c:v>
                </c:pt>
                <c:pt idx="45">
                  <c:v>24.38114442016337</c:v>
                </c:pt>
                <c:pt idx="46">
                  <c:v>24.365959913178294</c:v>
                </c:pt>
                <c:pt idx="47">
                  <c:v>24.338153564958237</c:v>
                </c:pt>
                <c:pt idx="48">
                  <c:v>24.293912386631479</c:v>
                </c:pt>
                <c:pt idx="49">
                  <c:v>24.210626486709359</c:v>
                </c:pt>
                <c:pt idx="50">
                  <c:v>24.073810063751061</c:v>
                </c:pt>
                <c:pt idx="51">
                  <c:v>23.799010661643567</c:v>
                </c:pt>
                <c:pt idx="52">
                  <c:v>23.352404003687724</c:v>
                </c:pt>
                <c:pt idx="53">
                  <c:v>23.270759337574429</c:v>
                </c:pt>
                <c:pt idx="54">
                  <c:v>23.270759337574429</c:v>
                </c:pt>
                <c:pt idx="55">
                  <c:v>22.127759337574428</c:v>
                </c:pt>
                <c:pt idx="56">
                  <c:v>22.127759337574428</c:v>
                </c:pt>
                <c:pt idx="57">
                  <c:v>22.127758337574431</c:v>
                </c:pt>
                <c:pt idx="58">
                  <c:v>22.127209447158688</c:v>
                </c:pt>
                <c:pt idx="59">
                  <c:v>22.125163867335058</c:v>
                </c:pt>
                <c:pt idx="60">
                  <c:v>22.122747239546403</c:v>
                </c:pt>
                <c:pt idx="61">
                  <c:v>22.118613157916002</c:v>
                </c:pt>
                <c:pt idx="62">
                  <c:v>22.113294932059276</c:v>
                </c:pt>
                <c:pt idx="63">
                  <c:v>22.102843255163911</c:v>
                </c:pt>
                <c:pt idx="64">
                  <c:v>22.087658748178832</c:v>
                </c:pt>
                <c:pt idx="65">
                  <c:v>22.059852399958778</c:v>
                </c:pt>
                <c:pt idx="66">
                  <c:v>22.015611221632021</c:v>
                </c:pt>
                <c:pt idx="67">
                  <c:v>21.9323253217099</c:v>
                </c:pt>
                <c:pt idx="68">
                  <c:v>21.795508898751603</c:v>
                </c:pt>
                <c:pt idx="69">
                  <c:v>21.520709496644109</c:v>
                </c:pt>
                <c:pt idx="70">
                  <c:v>21.074102838688265</c:v>
                </c:pt>
                <c:pt idx="71">
                  <c:v>20.99245817257497</c:v>
                </c:pt>
                <c:pt idx="72">
                  <c:v>20.99245817257497</c:v>
                </c:pt>
                <c:pt idx="73">
                  <c:v>19.84945817257497</c:v>
                </c:pt>
                <c:pt idx="74">
                  <c:v>19.84945817257497</c:v>
                </c:pt>
                <c:pt idx="75">
                  <c:v>19.849457172574972</c:v>
                </c:pt>
                <c:pt idx="76">
                  <c:v>19.848908282159229</c:v>
                </c:pt>
                <c:pt idx="77">
                  <c:v>19.846862702335599</c:v>
                </c:pt>
                <c:pt idx="78">
                  <c:v>19.844446074546944</c:v>
                </c:pt>
                <c:pt idx="79">
                  <c:v>19.840311992916543</c:v>
                </c:pt>
                <c:pt idx="80">
                  <c:v>19.834993767059817</c:v>
                </c:pt>
                <c:pt idx="81">
                  <c:v>19.824542090164453</c:v>
                </c:pt>
                <c:pt idx="82">
                  <c:v>19.809357583179377</c:v>
                </c:pt>
                <c:pt idx="83">
                  <c:v>19.78155123495932</c:v>
                </c:pt>
                <c:pt idx="84">
                  <c:v>19.737310056632563</c:v>
                </c:pt>
                <c:pt idx="85">
                  <c:v>19.654024156710442</c:v>
                </c:pt>
                <c:pt idx="86">
                  <c:v>19.517207733752144</c:v>
                </c:pt>
                <c:pt idx="87">
                  <c:v>19.242408331644651</c:v>
                </c:pt>
                <c:pt idx="88">
                  <c:v>18.795801673688807</c:v>
                </c:pt>
                <c:pt idx="89">
                  <c:v>18.714157007575512</c:v>
                </c:pt>
                <c:pt idx="90">
                  <c:v>18.714157007575512</c:v>
                </c:pt>
                <c:pt idx="91">
                  <c:v>17.571157007575511</c:v>
                </c:pt>
                <c:pt idx="92">
                  <c:v>17.571157007575511</c:v>
                </c:pt>
                <c:pt idx="93">
                  <c:v>17.571156007575514</c:v>
                </c:pt>
                <c:pt idx="94">
                  <c:v>17.570607117159771</c:v>
                </c:pt>
                <c:pt idx="95">
                  <c:v>17.568561537336141</c:v>
                </c:pt>
                <c:pt idx="96">
                  <c:v>17.566144909547486</c:v>
                </c:pt>
                <c:pt idx="97">
                  <c:v>17.562010827917085</c:v>
                </c:pt>
                <c:pt idx="98">
                  <c:v>17.556692602060359</c:v>
                </c:pt>
                <c:pt idx="99">
                  <c:v>17.546240925164994</c:v>
                </c:pt>
                <c:pt idx="100">
                  <c:v>17.531056418179915</c:v>
                </c:pt>
                <c:pt idx="101">
                  <c:v>17.503250069959861</c:v>
                </c:pt>
                <c:pt idx="102">
                  <c:v>17.459008891633104</c:v>
                </c:pt>
                <c:pt idx="103">
                  <c:v>17.375722991710983</c:v>
                </c:pt>
                <c:pt idx="104">
                  <c:v>17.238906568752686</c:v>
                </c:pt>
                <c:pt idx="105">
                  <c:v>16.964107166645192</c:v>
                </c:pt>
                <c:pt idx="106">
                  <c:v>16.517500508689348</c:v>
                </c:pt>
                <c:pt idx="107">
                  <c:v>16.435855842576053</c:v>
                </c:pt>
                <c:pt idx="108">
                  <c:v>16.435855842576053</c:v>
                </c:pt>
                <c:pt idx="109">
                  <c:v>15.292855842576053</c:v>
                </c:pt>
                <c:pt idx="110">
                  <c:v>15.292855842576053</c:v>
                </c:pt>
                <c:pt idx="111">
                  <c:v>15.292854842576054</c:v>
                </c:pt>
                <c:pt idx="112">
                  <c:v>15.29230595216031</c:v>
                </c:pt>
                <c:pt idx="113">
                  <c:v>15.290260372336681</c:v>
                </c:pt>
                <c:pt idx="114">
                  <c:v>15.287843744548029</c:v>
                </c:pt>
                <c:pt idx="115">
                  <c:v>15.283709662917627</c:v>
                </c:pt>
                <c:pt idx="116">
                  <c:v>15.278391437060902</c:v>
                </c:pt>
                <c:pt idx="117">
                  <c:v>15.267939760165536</c:v>
                </c:pt>
                <c:pt idx="118">
                  <c:v>15.252755253180458</c:v>
                </c:pt>
                <c:pt idx="119">
                  <c:v>15.224948904960401</c:v>
                </c:pt>
                <c:pt idx="120">
                  <c:v>15.180707726633646</c:v>
                </c:pt>
                <c:pt idx="121">
                  <c:v>15.097421826711525</c:v>
                </c:pt>
                <c:pt idx="122">
                  <c:v>14.960605403753227</c:v>
                </c:pt>
                <c:pt idx="123">
                  <c:v>14.685806001645734</c:v>
                </c:pt>
                <c:pt idx="124">
                  <c:v>14.23919934368989</c:v>
                </c:pt>
                <c:pt idx="125">
                  <c:v>14.157554677576595</c:v>
                </c:pt>
                <c:pt idx="126">
                  <c:v>14.157554677576599</c:v>
                </c:pt>
                <c:pt idx="127">
                  <c:v>13.014554677576598</c:v>
                </c:pt>
                <c:pt idx="128">
                  <c:v>13.014554677576598</c:v>
                </c:pt>
                <c:pt idx="129">
                  <c:v>13.014553677576599</c:v>
                </c:pt>
                <c:pt idx="130">
                  <c:v>13.014004787160856</c:v>
                </c:pt>
                <c:pt idx="131">
                  <c:v>13.011959207337226</c:v>
                </c:pt>
                <c:pt idx="132">
                  <c:v>13.009542579548574</c:v>
                </c:pt>
                <c:pt idx="133">
                  <c:v>13.005408497918172</c:v>
                </c:pt>
                <c:pt idx="134">
                  <c:v>13.000090272061447</c:v>
                </c:pt>
                <c:pt idx="135">
                  <c:v>12.989638595166081</c:v>
                </c:pt>
                <c:pt idx="136">
                  <c:v>12.974454088181004</c:v>
                </c:pt>
                <c:pt idx="137">
                  <c:v>12.946647739960946</c:v>
                </c:pt>
                <c:pt idx="138">
                  <c:v>12.902406561634191</c:v>
                </c:pt>
                <c:pt idx="139">
                  <c:v>12.81912066171207</c:v>
                </c:pt>
                <c:pt idx="140">
                  <c:v>12.682304238753773</c:v>
                </c:pt>
                <c:pt idx="141">
                  <c:v>12.407504836646279</c:v>
                </c:pt>
                <c:pt idx="142">
                  <c:v>11.960898178690435</c:v>
                </c:pt>
                <c:pt idx="143">
                  <c:v>11.87925351257714</c:v>
                </c:pt>
                <c:pt idx="144">
                  <c:v>11.87925351257714</c:v>
                </c:pt>
                <c:pt idx="145">
                  <c:v>10.736253512577139</c:v>
                </c:pt>
                <c:pt idx="146">
                  <c:v>10.736253512577139</c:v>
                </c:pt>
                <c:pt idx="147">
                  <c:v>10.73625251257714</c:v>
                </c:pt>
                <c:pt idx="148">
                  <c:v>10.735703622161397</c:v>
                </c:pt>
                <c:pt idx="149">
                  <c:v>10.733658042337767</c:v>
                </c:pt>
                <c:pt idx="150">
                  <c:v>10.731241414549116</c:v>
                </c:pt>
                <c:pt idx="151">
                  <c:v>10.727107332918713</c:v>
                </c:pt>
                <c:pt idx="152">
                  <c:v>10.721789107061989</c:v>
                </c:pt>
                <c:pt idx="153">
                  <c:v>10.711337430166623</c:v>
                </c:pt>
                <c:pt idx="154">
                  <c:v>10.696152923181545</c:v>
                </c:pt>
                <c:pt idx="155">
                  <c:v>10.668346574961488</c:v>
                </c:pt>
                <c:pt idx="156">
                  <c:v>10.624105396634732</c:v>
                </c:pt>
                <c:pt idx="157">
                  <c:v>10.540819496712611</c:v>
                </c:pt>
                <c:pt idx="158">
                  <c:v>10.404003073754314</c:v>
                </c:pt>
                <c:pt idx="159">
                  <c:v>10.12920367164682</c:v>
                </c:pt>
                <c:pt idx="160">
                  <c:v>9.6825970136909767</c:v>
                </c:pt>
                <c:pt idx="161">
                  <c:v>9.6009523475776817</c:v>
                </c:pt>
                <c:pt idx="162">
                  <c:v>9.6009523475776817</c:v>
                </c:pt>
                <c:pt idx="163">
                  <c:v>8.457952347577681</c:v>
                </c:pt>
                <c:pt idx="164">
                  <c:v>8.457952347577681</c:v>
                </c:pt>
                <c:pt idx="165">
                  <c:v>8.4579513475776817</c:v>
                </c:pt>
                <c:pt idx="166">
                  <c:v>8.4574024571619386</c:v>
                </c:pt>
                <c:pt idx="167">
                  <c:v>8.4553568773383088</c:v>
                </c:pt>
                <c:pt idx="168">
                  <c:v>8.4529402495496573</c:v>
                </c:pt>
                <c:pt idx="169">
                  <c:v>8.4488061679192548</c:v>
                </c:pt>
                <c:pt idx="170">
                  <c:v>8.4434879420625304</c:v>
                </c:pt>
                <c:pt idx="171">
                  <c:v>8.4330362651671642</c:v>
                </c:pt>
                <c:pt idx="172">
                  <c:v>8.4178517581820866</c:v>
                </c:pt>
                <c:pt idx="173">
                  <c:v>8.3900454099620294</c:v>
                </c:pt>
                <c:pt idx="174">
                  <c:v>8.3458042316352739</c:v>
                </c:pt>
                <c:pt idx="175">
                  <c:v>8.262518331713153</c:v>
                </c:pt>
                <c:pt idx="176">
                  <c:v>8.1257019087548557</c:v>
                </c:pt>
                <c:pt idx="177">
                  <c:v>7.8509025066473628</c:v>
                </c:pt>
                <c:pt idx="178">
                  <c:v>7.4042958486915182</c:v>
                </c:pt>
                <c:pt idx="179">
                  <c:v>7.3226511825782241</c:v>
                </c:pt>
                <c:pt idx="180">
                  <c:v>7.3226511825782232</c:v>
                </c:pt>
                <c:pt idx="181">
                  <c:v>6.1796511825782234</c:v>
                </c:pt>
                <c:pt idx="182">
                  <c:v>6.1796511825782234</c:v>
                </c:pt>
                <c:pt idx="183">
                  <c:v>6.1796501825782233</c:v>
                </c:pt>
                <c:pt idx="184">
                  <c:v>6.1791012921624802</c:v>
                </c:pt>
                <c:pt idx="185">
                  <c:v>6.1770557123388512</c:v>
                </c:pt>
                <c:pt idx="186">
                  <c:v>6.1746390845501988</c:v>
                </c:pt>
                <c:pt idx="187">
                  <c:v>6.1705050029197963</c:v>
                </c:pt>
                <c:pt idx="188">
                  <c:v>6.1651867770630711</c:v>
                </c:pt>
                <c:pt idx="189">
                  <c:v>6.1547351001677058</c:v>
                </c:pt>
                <c:pt idx="190">
                  <c:v>6.1395505931826282</c:v>
                </c:pt>
                <c:pt idx="191">
                  <c:v>6.1117442449625718</c:v>
                </c:pt>
                <c:pt idx="192">
                  <c:v>6.0675030666358163</c:v>
                </c:pt>
                <c:pt idx="193">
                  <c:v>5.9842171667136954</c:v>
                </c:pt>
                <c:pt idx="194">
                  <c:v>5.8474007437553972</c:v>
                </c:pt>
                <c:pt idx="195">
                  <c:v>5.5726013416479043</c:v>
                </c:pt>
                <c:pt idx="196">
                  <c:v>5.1259946836920598</c:v>
                </c:pt>
                <c:pt idx="197">
                  <c:v>5.0443500175787657</c:v>
                </c:pt>
                <c:pt idx="198">
                  <c:v>5.0443500175787683</c:v>
                </c:pt>
                <c:pt idx="199">
                  <c:v>3.9013500175787685</c:v>
                </c:pt>
                <c:pt idx="200">
                  <c:v>3.9013500175787685</c:v>
                </c:pt>
                <c:pt idx="201">
                  <c:v>3.9013490175787684</c:v>
                </c:pt>
                <c:pt idx="202">
                  <c:v>3.9008001271630253</c:v>
                </c:pt>
                <c:pt idx="203">
                  <c:v>3.8987545473393963</c:v>
                </c:pt>
                <c:pt idx="204">
                  <c:v>3.8963379195507439</c:v>
                </c:pt>
                <c:pt idx="205">
                  <c:v>3.892203837920341</c:v>
                </c:pt>
                <c:pt idx="206">
                  <c:v>3.8868856120636162</c:v>
                </c:pt>
                <c:pt idx="207">
                  <c:v>3.8764339351682513</c:v>
                </c:pt>
                <c:pt idx="208">
                  <c:v>3.8612494281831733</c:v>
                </c:pt>
                <c:pt idx="209">
                  <c:v>3.833443079963117</c:v>
                </c:pt>
                <c:pt idx="210">
                  <c:v>3.7892019016363614</c:v>
                </c:pt>
                <c:pt idx="211">
                  <c:v>3.7059160017142405</c:v>
                </c:pt>
                <c:pt idx="212">
                  <c:v>3.5690995787559427</c:v>
                </c:pt>
                <c:pt idx="213">
                  <c:v>3.2943001766484494</c:v>
                </c:pt>
                <c:pt idx="214">
                  <c:v>2.8476935186926045</c:v>
                </c:pt>
                <c:pt idx="215">
                  <c:v>2.7660488525793108</c:v>
                </c:pt>
                <c:pt idx="216">
                  <c:v>2.7660488525793099</c:v>
                </c:pt>
                <c:pt idx="217">
                  <c:v>1.6230488525793101</c:v>
                </c:pt>
                <c:pt idx="218">
                  <c:v>1.6230488525793101</c:v>
                </c:pt>
                <c:pt idx="219">
                  <c:v>1.6230478525793102</c:v>
                </c:pt>
                <c:pt idx="220">
                  <c:v>1.622498962163567</c:v>
                </c:pt>
                <c:pt idx="221">
                  <c:v>1.6204533823399376</c:v>
                </c:pt>
                <c:pt idx="222">
                  <c:v>1.6180367545512853</c:v>
                </c:pt>
                <c:pt idx="223">
                  <c:v>1.6139026729208825</c:v>
                </c:pt>
                <c:pt idx="224">
                  <c:v>1.6085844470641579</c:v>
                </c:pt>
                <c:pt idx="225">
                  <c:v>1.5981327701687928</c:v>
                </c:pt>
                <c:pt idx="226">
                  <c:v>1.5829482631837148</c:v>
                </c:pt>
                <c:pt idx="227">
                  <c:v>1.5551419149636583</c:v>
                </c:pt>
                <c:pt idx="228">
                  <c:v>1.5109007366369027</c:v>
                </c:pt>
                <c:pt idx="229">
                  <c:v>1.4276148367147818</c:v>
                </c:pt>
                <c:pt idx="230">
                  <c:v>1.2907984137564843</c:v>
                </c:pt>
                <c:pt idx="231">
                  <c:v>1.0159990116489908</c:v>
                </c:pt>
                <c:pt idx="232">
                  <c:v>0.569392353693146</c:v>
                </c:pt>
                <c:pt idx="233">
                  <c:v>0.48774768757985232</c:v>
                </c:pt>
                <c:pt idx="234">
                  <c:v>0.48774768757985143</c:v>
                </c:pt>
                <c:pt idx="235">
                  <c:v>-0.65525231242014836</c:v>
                </c:pt>
                <c:pt idx="236">
                  <c:v>-0.65525231242014836</c:v>
                </c:pt>
                <c:pt idx="237">
                  <c:v>-0.65525331242014828</c:v>
                </c:pt>
                <c:pt idx="238">
                  <c:v>-0.65580220283589141</c:v>
                </c:pt>
                <c:pt idx="239">
                  <c:v>-0.65784778265952082</c:v>
                </c:pt>
                <c:pt idx="240">
                  <c:v>-0.66026441044817319</c:v>
                </c:pt>
                <c:pt idx="241">
                  <c:v>-0.66439849207857593</c:v>
                </c:pt>
                <c:pt idx="242">
                  <c:v>-0.66971671793530052</c:v>
                </c:pt>
                <c:pt idx="243">
                  <c:v>-0.6801683948306656</c:v>
                </c:pt>
                <c:pt idx="244">
                  <c:v>-0.69535290181574361</c:v>
                </c:pt>
                <c:pt idx="245">
                  <c:v>-0.72315925003580017</c:v>
                </c:pt>
                <c:pt idx="246">
                  <c:v>-0.76740042836255573</c:v>
                </c:pt>
                <c:pt idx="247">
                  <c:v>-0.85068632828467661</c:v>
                </c:pt>
                <c:pt idx="248">
                  <c:v>-0.98750275124297415</c:v>
                </c:pt>
                <c:pt idx="249">
                  <c:v>-1.2623021533504677</c:v>
                </c:pt>
                <c:pt idx="250">
                  <c:v>-1.7089088113063124</c:v>
                </c:pt>
                <c:pt idx="251">
                  <c:v>-1.7905534774196061</c:v>
                </c:pt>
                <c:pt idx="252">
                  <c:v>-1.7905534774196035</c:v>
                </c:pt>
                <c:pt idx="253">
                  <c:v>-2.9335534774196033</c:v>
                </c:pt>
                <c:pt idx="254">
                  <c:v>-2.9335534774196033</c:v>
                </c:pt>
                <c:pt idx="255">
                  <c:v>-2.9335544774196034</c:v>
                </c:pt>
                <c:pt idx="256">
                  <c:v>-2.9341033678353465</c:v>
                </c:pt>
                <c:pt idx="257">
                  <c:v>-2.9361489476589755</c:v>
                </c:pt>
                <c:pt idx="258">
                  <c:v>-2.9385655754476279</c:v>
                </c:pt>
                <c:pt idx="259">
                  <c:v>-2.9426996570780308</c:v>
                </c:pt>
                <c:pt idx="260">
                  <c:v>-2.9480178829347556</c:v>
                </c:pt>
                <c:pt idx="261">
                  <c:v>-2.9584695598301205</c:v>
                </c:pt>
                <c:pt idx="262">
                  <c:v>-2.9736540668151985</c:v>
                </c:pt>
                <c:pt idx="263">
                  <c:v>-3.0014604150352548</c:v>
                </c:pt>
                <c:pt idx="264">
                  <c:v>-3.0457015933620104</c:v>
                </c:pt>
                <c:pt idx="265">
                  <c:v>-3.1289874932841313</c:v>
                </c:pt>
                <c:pt idx="266">
                  <c:v>-3.2658039162424291</c:v>
                </c:pt>
                <c:pt idx="267">
                  <c:v>-3.5406033183499224</c:v>
                </c:pt>
                <c:pt idx="268">
                  <c:v>-3.9872099763057673</c:v>
                </c:pt>
                <c:pt idx="269">
                  <c:v>-4.068854642419061</c:v>
                </c:pt>
                <c:pt idx="270">
                  <c:v>-4.0688546424190655</c:v>
                </c:pt>
                <c:pt idx="271">
                  <c:v>-5.2118546424190653</c:v>
                </c:pt>
                <c:pt idx="272">
                  <c:v>-5.2118546424190653</c:v>
                </c:pt>
                <c:pt idx="273">
                  <c:v>-5.2118556424190654</c:v>
                </c:pt>
                <c:pt idx="274">
                  <c:v>-5.2124045328348085</c:v>
                </c:pt>
                <c:pt idx="275">
                  <c:v>-5.2144501126584375</c:v>
                </c:pt>
                <c:pt idx="276">
                  <c:v>-5.2168667404470899</c:v>
                </c:pt>
                <c:pt idx="277">
                  <c:v>-5.2210008220774924</c:v>
                </c:pt>
                <c:pt idx="278">
                  <c:v>-5.2263190479342176</c:v>
                </c:pt>
                <c:pt idx="279">
                  <c:v>-5.2367707248295829</c:v>
                </c:pt>
                <c:pt idx="280">
                  <c:v>-5.2519552318146605</c:v>
                </c:pt>
                <c:pt idx="281">
                  <c:v>-5.2797615800347169</c:v>
                </c:pt>
                <c:pt idx="282">
                  <c:v>-5.3240027583614724</c:v>
                </c:pt>
                <c:pt idx="283">
                  <c:v>-5.4072886582835933</c:v>
                </c:pt>
                <c:pt idx="284">
                  <c:v>-5.5441050812418915</c:v>
                </c:pt>
                <c:pt idx="285">
                  <c:v>-5.8189044833493844</c:v>
                </c:pt>
                <c:pt idx="286">
                  <c:v>-6.2655111413052289</c:v>
                </c:pt>
                <c:pt idx="287">
                  <c:v>-6.347155807418523</c:v>
                </c:pt>
                <c:pt idx="288">
                  <c:v>-6.3471558074185204</c:v>
                </c:pt>
                <c:pt idx="289">
                  <c:v>-7.4901558074185202</c:v>
                </c:pt>
                <c:pt idx="290">
                  <c:v>-7.4901558074185202</c:v>
                </c:pt>
                <c:pt idx="291">
                  <c:v>-7.4901568074185203</c:v>
                </c:pt>
                <c:pt idx="292">
                  <c:v>-7.4907056978342634</c:v>
                </c:pt>
                <c:pt idx="293">
                  <c:v>-7.4927512776578924</c:v>
                </c:pt>
                <c:pt idx="294">
                  <c:v>-7.4951679054465448</c:v>
                </c:pt>
                <c:pt idx="295">
                  <c:v>-7.4993019870769473</c:v>
                </c:pt>
                <c:pt idx="296">
                  <c:v>-7.5046202129336725</c:v>
                </c:pt>
                <c:pt idx="297">
                  <c:v>-7.5150718898290378</c:v>
                </c:pt>
                <c:pt idx="298">
                  <c:v>-7.5302563968141154</c:v>
                </c:pt>
                <c:pt idx="299">
                  <c:v>-7.5580627450341717</c:v>
                </c:pt>
                <c:pt idx="300">
                  <c:v>-7.6023039233609273</c:v>
                </c:pt>
                <c:pt idx="301">
                  <c:v>-7.6855898232830482</c:v>
                </c:pt>
                <c:pt idx="302">
                  <c:v>-7.8224062462413464</c:v>
                </c:pt>
                <c:pt idx="303">
                  <c:v>-8.0972056483488402</c:v>
                </c:pt>
                <c:pt idx="304">
                  <c:v>-8.5438123063046838</c:v>
                </c:pt>
                <c:pt idx="305">
                  <c:v>-8.6254569724179788</c:v>
                </c:pt>
                <c:pt idx="306">
                  <c:v>-8.6254569724179753</c:v>
                </c:pt>
                <c:pt idx="307">
                  <c:v>-9.7684569724179759</c:v>
                </c:pt>
                <c:pt idx="308">
                  <c:v>-9.7684569724179759</c:v>
                </c:pt>
                <c:pt idx="309">
                  <c:v>-9.7684579724179752</c:v>
                </c:pt>
                <c:pt idx="310">
                  <c:v>-9.7690068628337183</c:v>
                </c:pt>
                <c:pt idx="311">
                  <c:v>-9.7710524426573482</c:v>
                </c:pt>
                <c:pt idx="312">
                  <c:v>-9.7734690704459997</c:v>
                </c:pt>
                <c:pt idx="313">
                  <c:v>-9.7776031520764022</c:v>
                </c:pt>
                <c:pt idx="314">
                  <c:v>-9.7829213779331265</c:v>
                </c:pt>
                <c:pt idx="315">
                  <c:v>-9.7933730548284927</c:v>
                </c:pt>
                <c:pt idx="316">
                  <c:v>-9.8085575618135703</c:v>
                </c:pt>
                <c:pt idx="317">
                  <c:v>-9.8363639100336275</c:v>
                </c:pt>
                <c:pt idx="318">
                  <c:v>-9.8806050883603831</c:v>
                </c:pt>
                <c:pt idx="319">
                  <c:v>-9.963890988282504</c:v>
                </c:pt>
                <c:pt idx="320">
                  <c:v>-10.100707411240801</c:v>
                </c:pt>
                <c:pt idx="321">
                  <c:v>-10.375506813348295</c:v>
                </c:pt>
                <c:pt idx="322">
                  <c:v>-10.822113471304139</c:v>
                </c:pt>
                <c:pt idx="323">
                  <c:v>-10.903758137417434</c:v>
                </c:pt>
                <c:pt idx="324">
                  <c:v>-10.903758137417437</c:v>
                </c:pt>
                <c:pt idx="325">
                  <c:v>-12.046758137417438</c:v>
                </c:pt>
                <c:pt idx="326">
                  <c:v>-12.046758137417438</c:v>
                </c:pt>
                <c:pt idx="327">
                  <c:v>-12.046759137417437</c:v>
                </c:pt>
                <c:pt idx="328">
                  <c:v>-12.04730802783318</c:v>
                </c:pt>
                <c:pt idx="329">
                  <c:v>-12.04935360765681</c:v>
                </c:pt>
                <c:pt idx="330">
                  <c:v>-12.051770235445462</c:v>
                </c:pt>
                <c:pt idx="331">
                  <c:v>-12.055904317075864</c:v>
                </c:pt>
                <c:pt idx="332">
                  <c:v>-12.061222542932589</c:v>
                </c:pt>
                <c:pt idx="333">
                  <c:v>-12.071674219827955</c:v>
                </c:pt>
                <c:pt idx="334">
                  <c:v>-12.086858726813032</c:v>
                </c:pt>
                <c:pt idx="335">
                  <c:v>-12.11466507503309</c:v>
                </c:pt>
                <c:pt idx="336">
                  <c:v>-12.158906253359845</c:v>
                </c:pt>
                <c:pt idx="337">
                  <c:v>-12.242192153281966</c:v>
                </c:pt>
                <c:pt idx="338">
                  <c:v>-12.379008576240263</c:v>
                </c:pt>
                <c:pt idx="339">
                  <c:v>-12.653807978347757</c:v>
                </c:pt>
                <c:pt idx="340">
                  <c:v>-13.100414636303601</c:v>
                </c:pt>
                <c:pt idx="341">
                  <c:v>-13.182059302416896</c:v>
                </c:pt>
                <c:pt idx="342">
                  <c:v>-13.182059302416892</c:v>
                </c:pt>
                <c:pt idx="343">
                  <c:v>-14.325059302416893</c:v>
                </c:pt>
                <c:pt idx="344">
                  <c:v>-14.325059302416893</c:v>
                </c:pt>
                <c:pt idx="345">
                  <c:v>-14.325060302416892</c:v>
                </c:pt>
                <c:pt idx="346">
                  <c:v>-14.325609192832635</c:v>
                </c:pt>
                <c:pt idx="347">
                  <c:v>-14.327654772656265</c:v>
                </c:pt>
                <c:pt idx="348">
                  <c:v>-14.330071400444917</c:v>
                </c:pt>
                <c:pt idx="349">
                  <c:v>-14.334205482075319</c:v>
                </c:pt>
                <c:pt idx="350">
                  <c:v>-14.339523707932043</c:v>
                </c:pt>
                <c:pt idx="351">
                  <c:v>-14.34997538482741</c:v>
                </c:pt>
                <c:pt idx="352">
                  <c:v>-14.365159891812487</c:v>
                </c:pt>
                <c:pt idx="353">
                  <c:v>-14.392966240032544</c:v>
                </c:pt>
                <c:pt idx="354">
                  <c:v>-14.4372074183593</c:v>
                </c:pt>
                <c:pt idx="355">
                  <c:v>-14.520493318281421</c:v>
                </c:pt>
                <c:pt idx="356">
                  <c:v>-14.657309741239718</c:v>
                </c:pt>
                <c:pt idx="357">
                  <c:v>-14.932109143347212</c:v>
                </c:pt>
                <c:pt idx="358">
                  <c:v>-15.378715801303056</c:v>
                </c:pt>
                <c:pt idx="359">
                  <c:v>-15.460360467416351</c:v>
                </c:pt>
                <c:pt idx="360">
                  <c:v>-15.460360467416354</c:v>
                </c:pt>
                <c:pt idx="361">
                  <c:v>-16.603360467416355</c:v>
                </c:pt>
                <c:pt idx="362">
                  <c:v>-16.603360467416355</c:v>
                </c:pt>
                <c:pt idx="363">
                  <c:v>-16.603361467416352</c:v>
                </c:pt>
                <c:pt idx="364">
                  <c:v>-16.603910357832095</c:v>
                </c:pt>
                <c:pt idx="365">
                  <c:v>-16.605955937655725</c:v>
                </c:pt>
                <c:pt idx="366">
                  <c:v>-16.60837256544438</c:v>
                </c:pt>
                <c:pt idx="367">
                  <c:v>-16.612506647074781</c:v>
                </c:pt>
                <c:pt idx="368">
                  <c:v>-16.617824872931507</c:v>
                </c:pt>
                <c:pt idx="369">
                  <c:v>-16.628276549826872</c:v>
                </c:pt>
                <c:pt idx="370">
                  <c:v>-16.643461056811951</c:v>
                </c:pt>
                <c:pt idx="371">
                  <c:v>-16.671267405032005</c:v>
                </c:pt>
                <c:pt idx="372">
                  <c:v>-16.715508583358762</c:v>
                </c:pt>
                <c:pt idx="373">
                  <c:v>-16.798794483280883</c:v>
                </c:pt>
                <c:pt idx="374">
                  <c:v>-16.93561090623918</c:v>
                </c:pt>
                <c:pt idx="375">
                  <c:v>-17.210410308346674</c:v>
                </c:pt>
                <c:pt idx="376">
                  <c:v>-17.657016966302518</c:v>
                </c:pt>
                <c:pt idx="377">
                  <c:v>-17.738661632415813</c:v>
                </c:pt>
                <c:pt idx="378">
                  <c:v>-17.738661632415809</c:v>
                </c:pt>
                <c:pt idx="379">
                  <c:v>-18.88166163241581</c:v>
                </c:pt>
                <c:pt idx="380">
                  <c:v>-18.88166163241581</c:v>
                </c:pt>
                <c:pt idx="381">
                  <c:v>-18.881662632415807</c:v>
                </c:pt>
                <c:pt idx="382">
                  <c:v>-18.88221152283155</c:v>
                </c:pt>
                <c:pt idx="383">
                  <c:v>-18.88425710265518</c:v>
                </c:pt>
                <c:pt idx="384">
                  <c:v>-18.886673730443835</c:v>
                </c:pt>
                <c:pt idx="385">
                  <c:v>-18.890807812074236</c:v>
                </c:pt>
                <c:pt idx="386">
                  <c:v>-18.896126037930962</c:v>
                </c:pt>
                <c:pt idx="387">
                  <c:v>-18.906577714826327</c:v>
                </c:pt>
                <c:pt idx="388">
                  <c:v>-18.921762221811406</c:v>
                </c:pt>
                <c:pt idx="389">
                  <c:v>-18.94956857003146</c:v>
                </c:pt>
                <c:pt idx="390">
                  <c:v>-18.993809748358217</c:v>
                </c:pt>
                <c:pt idx="391">
                  <c:v>-19.077095648280338</c:v>
                </c:pt>
                <c:pt idx="392">
                  <c:v>-19.213912071238635</c:v>
                </c:pt>
                <c:pt idx="393">
                  <c:v>-19.488711473346129</c:v>
                </c:pt>
                <c:pt idx="394">
                  <c:v>-19.935318131301972</c:v>
                </c:pt>
                <c:pt idx="395">
                  <c:v>-20.016962797415268</c:v>
                </c:pt>
                <c:pt idx="396">
                  <c:v>-20.016962797415264</c:v>
                </c:pt>
                <c:pt idx="397">
                  <c:v>-21.159962797415265</c:v>
                </c:pt>
                <c:pt idx="398">
                  <c:v>-21.159962797415265</c:v>
                </c:pt>
                <c:pt idx="399">
                  <c:v>-21.159963797415262</c:v>
                </c:pt>
                <c:pt idx="400">
                  <c:v>-21.160512687831005</c:v>
                </c:pt>
                <c:pt idx="401">
                  <c:v>-21.162558267654635</c:v>
                </c:pt>
                <c:pt idx="402">
                  <c:v>-21.16497489544329</c:v>
                </c:pt>
                <c:pt idx="403">
                  <c:v>-21.169108977073691</c:v>
                </c:pt>
                <c:pt idx="404">
                  <c:v>-21.174427202930417</c:v>
                </c:pt>
                <c:pt idx="405">
                  <c:v>-21.184878879825781</c:v>
                </c:pt>
                <c:pt idx="406">
                  <c:v>-21.200063386810861</c:v>
                </c:pt>
                <c:pt idx="407">
                  <c:v>-21.227869735030914</c:v>
                </c:pt>
                <c:pt idx="408">
                  <c:v>-21.272110913357672</c:v>
                </c:pt>
                <c:pt idx="409">
                  <c:v>-21.355396813279793</c:v>
                </c:pt>
                <c:pt idx="410">
                  <c:v>-21.49221323623809</c:v>
                </c:pt>
                <c:pt idx="411">
                  <c:v>-21.767012638345584</c:v>
                </c:pt>
                <c:pt idx="412">
                  <c:v>-22.213619296301427</c:v>
                </c:pt>
                <c:pt idx="413">
                  <c:v>-22.295263962414722</c:v>
                </c:pt>
                <c:pt idx="414">
                  <c:v>-22.295263962414726</c:v>
                </c:pt>
                <c:pt idx="415">
                  <c:v>-23.438263962414727</c:v>
                </c:pt>
                <c:pt idx="416">
                  <c:v>-23.438263962414727</c:v>
                </c:pt>
                <c:pt idx="417">
                  <c:v>-23.438264962414724</c:v>
                </c:pt>
                <c:pt idx="418">
                  <c:v>-23.438813852830467</c:v>
                </c:pt>
                <c:pt idx="419">
                  <c:v>-23.440859432654097</c:v>
                </c:pt>
                <c:pt idx="420">
                  <c:v>-23.443276060442752</c:v>
                </c:pt>
                <c:pt idx="421">
                  <c:v>-23.447410142073153</c:v>
                </c:pt>
                <c:pt idx="422">
                  <c:v>-23.452728367929879</c:v>
                </c:pt>
                <c:pt idx="423">
                  <c:v>-23.463180044825243</c:v>
                </c:pt>
                <c:pt idx="424">
                  <c:v>-23.478364551810323</c:v>
                </c:pt>
                <c:pt idx="425">
                  <c:v>-23.506170900030376</c:v>
                </c:pt>
                <c:pt idx="426">
                  <c:v>-23.550412078357134</c:v>
                </c:pt>
                <c:pt idx="427">
                  <c:v>-23.633697978279255</c:v>
                </c:pt>
                <c:pt idx="428">
                  <c:v>-23.770514401237552</c:v>
                </c:pt>
                <c:pt idx="429">
                  <c:v>-24.045313803345046</c:v>
                </c:pt>
                <c:pt idx="430">
                  <c:v>-24.491920461300889</c:v>
                </c:pt>
                <c:pt idx="431">
                  <c:v>-24.573565127414184</c:v>
                </c:pt>
                <c:pt idx="432">
                  <c:v>-24.573565127414181</c:v>
                </c:pt>
                <c:pt idx="433">
                  <c:v>-25.716565127414182</c:v>
                </c:pt>
                <c:pt idx="434">
                  <c:v>-25.716565127414182</c:v>
                </c:pt>
                <c:pt idx="435">
                  <c:v>-25.716566127414179</c:v>
                </c:pt>
                <c:pt idx="436">
                  <c:v>-25.717115017829922</c:v>
                </c:pt>
                <c:pt idx="437">
                  <c:v>-25.719160597653552</c:v>
                </c:pt>
                <c:pt idx="438">
                  <c:v>-25.721577225442207</c:v>
                </c:pt>
                <c:pt idx="439">
                  <c:v>-25.725711307072608</c:v>
                </c:pt>
                <c:pt idx="440">
                  <c:v>-25.731029532929334</c:v>
                </c:pt>
                <c:pt idx="441">
                  <c:v>-25.741481209824698</c:v>
                </c:pt>
                <c:pt idx="442">
                  <c:v>-25.756665716809778</c:v>
                </c:pt>
                <c:pt idx="443">
                  <c:v>-25.784472065029831</c:v>
                </c:pt>
                <c:pt idx="444">
                  <c:v>-25.828713243356589</c:v>
                </c:pt>
                <c:pt idx="445">
                  <c:v>-25.91199914327871</c:v>
                </c:pt>
                <c:pt idx="446">
                  <c:v>-26.048815566237007</c:v>
                </c:pt>
                <c:pt idx="447">
                  <c:v>-26.323614968344501</c:v>
                </c:pt>
                <c:pt idx="448">
                  <c:v>-26.770221626300344</c:v>
                </c:pt>
                <c:pt idx="449">
                  <c:v>-26.851866292413639</c:v>
                </c:pt>
                <c:pt idx="450">
                  <c:v>-26.851866292413636</c:v>
                </c:pt>
                <c:pt idx="451">
                  <c:v>-27.994866292413636</c:v>
                </c:pt>
                <c:pt idx="452">
                  <c:v>-27.994866292413636</c:v>
                </c:pt>
                <c:pt idx="453">
                  <c:v>-27.994867292413634</c:v>
                </c:pt>
                <c:pt idx="454">
                  <c:v>-27.995416182829377</c:v>
                </c:pt>
                <c:pt idx="455">
                  <c:v>-27.997461762653007</c:v>
                </c:pt>
                <c:pt idx="456">
                  <c:v>-27.999878390441662</c:v>
                </c:pt>
                <c:pt idx="457">
                  <c:v>-28.004012472072063</c:v>
                </c:pt>
                <c:pt idx="458">
                  <c:v>-28.009330697928789</c:v>
                </c:pt>
                <c:pt idx="459">
                  <c:v>-28.019782374824153</c:v>
                </c:pt>
                <c:pt idx="460">
                  <c:v>-28.034966881809233</c:v>
                </c:pt>
                <c:pt idx="461">
                  <c:v>-28.062773230029286</c:v>
                </c:pt>
                <c:pt idx="462">
                  <c:v>-28.107014408356044</c:v>
                </c:pt>
                <c:pt idx="463">
                  <c:v>-28.190300308278164</c:v>
                </c:pt>
                <c:pt idx="464">
                  <c:v>-28.327116731236462</c:v>
                </c:pt>
                <c:pt idx="465">
                  <c:v>-28.601916133343956</c:v>
                </c:pt>
                <c:pt idx="466">
                  <c:v>-29.048522791299799</c:v>
                </c:pt>
                <c:pt idx="467">
                  <c:v>-29.130167457413094</c:v>
                </c:pt>
                <c:pt idx="468">
                  <c:v>-29.130167457413098</c:v>
                </c:pt>
                <c:pt idx="469">
                  <c:v>-30.273167457413098</c:v>
                </c:pt>
                <c:pt idx="470">
                  <c:v>-30.273167457413098</c:v>
                </c:pt>
                <c:pt idx="471">
                  <c:v>-30.273168457413096</c:v>
                </c:pt>
                <c:pt idx="472">
                  <c:v>-30.273717347828839</c:v>
                </c:pt>
                <c:pt idx="473">
                  <c:v>-30.275762927652469</c:v>
                </c:pt>
                <c:pt idx="474">
                  <c:v>-30.278179555441124</c:v>
                </c:pt>
                <c:pt idx="475">
                  <c:v>-30.282313637071525</c:v>
                </c:pt>
                <c:pt idx="476">
                  <c:v>-30.287631862928251</c:v>
                </c:pt>
                <c:pt idx="477">
                  <c:v>-30.298083539823615</c:v>
                </c:pt>
                <c:pt idx="478">
                  <c:v>-30.313268046808695</c:v>
                </c:pt>
                <c:pt idx="479">
                  <c:v>-30.341074395028748</c:v>
                </c:pt>
                <c:pt idx="480">
                  <c:v>-30.385315573355506</c:v>
                </c:pt>
                <c:pt idx="481">
                  <c:v>-30.468601473277626</c:v>
                </c:pt>
                <c:pt idx="482">
                  <c:v>-30.605417896235924</c:v>
                </c:pt>
                <c:pt idx="483">
                  <c:v>-30.880217298343418</c:v>
                </c:pt>
                <c:pt idx="484">
                  <c:v>-31.326823956299261</c:v>
                </c:pt>
                <c:pt idx="485">
                  <c:v>-31.408468622412556</c:v>
                </c:pt>
                <c:pt idx="486">
                  <c:v>-31.408468622412553</c:v>
                </c:pt>
                <c:pt idx="487">
                  <c:v>-32.55146862241255</c:v>
                </c:pt>
                <c:pt idx="488">
                  <c:v>-32.55146862241255</c:v>
                </c:pt>
                <c:pt idx="489">
                  <c:v>-32.551469622412554</c:v>
                </c:pt>
                <c:pt idx="490">
                  <c:v>-32.552018512828298</c:v>
                </c:pt>
                <c:pt idx="491">
                  <c:v>-32.554064092651927</c:v>
                </c:pt>
                <c:pt idx="492">
                  <c:v>-32.556480720440575</c:v>
                </c:pt>
                <c:pt idx="493">
                  <c:v>-32.56061480207098</c:v>
                </c:pt>
                <c:pt idx="494">
                  <c:v>-32.565933027927706</c:v>
                </c:pt>
                <c:pt idx="495">
                  <c:v>-32.57638470482307</c:v>
                </c:pt>
                <c:pt idx="496">
                  <c:v>-32.591569211808149</c:v>
                </c:pt>
                <c:pt idx="497">
                  <c:v>-32.619375560028203</c:v>
                </c:pt>
                <c:pt idx="498">
                  <c:v>-32.66361673835496</c:v>
                </c:pt>
                <c:pt idx="499">
                  <c:v>-32.746902638277078</c:v>
                </c:pt>
                <c:pt idx="500">
                  <c:v>-32.883719061235375</c:v>
                </c:pt>
                <c:pt idx="501">
                  <c:v>-33.158518463342872</c:v>
                </c:pt>
                <c:pt idx="502">
                  <c:v>-33.60512512129872</c:v>
                </c:pt>
                <c:pt idx="503">
                  <c:v>-33.686769787412011</c:v>
                </c:pt>
                <c:pt idx="504">
                  <c:v>-33.686769787412004</c:v>
                </c:pt>
                <c:pt idx="505">
                  <c:v>-34.829769787412005</c:v>
                </c:pt>
                <c:pt idx="506">
                  <c:v>-34.829769787412005</c:v>
                </c:pt>
                <c:pt idx="507">
                  <c:v>-34.829770787412002</c:v>
                </c:pt>
                <c:pt idx="508">
                  <c:v>-34.830319677827745</c:v>
                </c:pt>
                <c:pt idx="509">
                  <c:v>-34.832365257651375</c:v>
                </c:pt>
                <c:pt idx="510">
                  <c:v>-34.83478188544003</c:v>
                </c:pt>
                <c:pt idx="511">
                  <c:v>-34.838915967070434</c:v>
                </c:pt>
                <c:pt idx="512">
                  <c:v>-34.844234192927154</c:v>
                </c:pt>
                <c:pt idx="513">
                  <c:v>-34.854685869822518</c:v>
                </c:pt>
                <c:pt idx="514">
                  <c:v>-34.869870376807597</c:v>
                </c:pt>
                <c:pt idx="515">
                  <c:v>-34.897676725027658</c:v>
                </c:pt>
                <c:pt idx="516">
                  <c:v>-34.941917903354408</c:v>
                </c:pt>
                <c:pt idx="517">
                  <c:v>-35.025203803276533</c:v>
                </c:pt>
                <c:pt idx="518">
                  <c:v>-35.16202022623483</c:v>
                </c:pt>
                <c:pt idx="519">
                  <c:v>-35.43681962834232</c:v>
                </c:pt>
                <c:pt idx="520">
                  <c:v>-35.883426286298167</c:v>
                </c:pt>
                <c:pt idx="521">
                  <c:v>-35.965070952411459</c:v>
                </c:pt>
                <c:pt idx="522">
                  <c:v>-35.965070952411466</c:v>
                </c:pt>
                <c:pt idx="523">
                  <c:v>-37.108070952411467</c:v>
                </c:pt>
                <c:pt idx="524">
                  <c:v>-37.108070952411467</c:v>
                </c:pt>
                <c:pt idx="525">
                  <c:v>-37.108071952411464</c:v>
                </c:pt>
                <c:pt idx="526">
                  <c:v>-37.108620842827207</c:v>
                </c:pt>
                <c:pt idx="527">
                  <c:v>-37.110666422650837</c:v>
                </c:pt>
                <c:pt idx="528">
                  <c:v>-37.113083050439492</c:v>
                </c:pt>
                <c:pt idx="529">
                  <c:v>-37.117217132069896</c:v>
                </c:pt>
                <c:pt idx="530">
                  <c:v>-37.122535357926616</c:v>
                </c:pt>
                <c:pt idx="531">
                  <c:v>-37.13298703482198</c:v>
                </c:pt>
                <c:pt idx="532">
                  <c:v>-37.148171541807059</c:v>
                </c:pt>
                <c:pt idx="533">
                  <c:v>-37.17597789002712</c:v>
                </c:pt>
                <c:pt idx="534">
                  <c:v>-37.22021906835387</c:v>
                </c:pt>
                <c:pt idx="535">
                  <c:v>-37.303504968275995</c:v>
                </c:pt>
                <c:pt idx="536">
                  <c:v>-37.440321391234292</c:v>
                </c:pt>
                <c:pt idx="537">
                  <c:v>-37.715120793341782</c:v>
                </c:pt>
                <c:pt idx="538">
                  <c:v>-38.161727451297629</c:v>
                </c:pt>
                <c:pt idx="539">
                  <c:v>-38.243372117410921</c:v>
                </c:pt>
                <c:pt idx="540">
                  <c:v>-38.243372117410928</c:v>
                </c:pt>
                <c:pt idx="541">
                  <c:v>-39.386372117410929</c:v>
                </c:pt>
                <c:pt idx="542">
                  <c:v>-39.386372117410929</c:v>
                </c:pt>
                <c:pt idx="543">
                  <c:v>-39.386373117410926</c:v>
                </c:pt>
                <c:pt idx="544">
                  <c:v>-39.386922007826669</c:v>
                </c:pt>
                <c:pt idx="545">
                  <c:v>-39.388967587650299</c:v>
                </c:pt>
                <c:pt idx="546">
                  <c:v>-39.391384215438954</c:v>
                </c:pt>
                <c:pt idx="547">
                  <c:v>-39.395518297069358</c:v>
                </c:pt>
                <c:pt idx="548">
                  <c:v>-39.400836522926078</c:v>
                </c:pt>
                <c:pt idx="549">
                  <c:v>-39.411288199821442</c:v>
                </c:pt>
                <c:pt idx="550">
                  <c:v>-39.426472706806521</c:v>
                </c:pt>
                <c:pt idx="551">
                  <c:v>-39.454279055026582</c:v>
                </c:pt>
                <c:pt idx="552">
                  <c:v>-39.498520233353332</c:v>
                </c:pt>
                <c:pt idx="553">
                  <c:v>-39.581806133275457</c:v>
                </c:pt>
                <c:pt idx="554">
                  <c:v>-39.718622556233754</c:v>
                </c:pt>
                <c:pt idx="555">
                  <c:v>-39.993421958341244</c:v>
                </c:pt>
                <c:pt idx="556">
                  <c:v>-40.440028616297091</c:v>
                </c:pt>
                <c:pt idx="557">
                  <c:v>-40.521673282410383</c:v>
                </c:pt>
                <c:pt idx="558">
                  <c:v>-40.521673282410376</c:v>
                </c:pt>
                <c:pt idx="559">
                  <c:v>-41.664673282410376</c:v>
                </c:pt>
                <c:pt idx="560">
                  <c:v>-41.664673282410376</c:v>
                </c:pt>
                <c:pt idx="561">
                  <c:v>-41.664674282410374</c:v>
                </c:pt>
                <c:pt idx="562">
                  <c:v>-41.665223172826117</c:v>
                </c:pt>
                <c:pt idx="563">
                  <c:v>-41.667268752649747</c:v>
                </c:pt>
                <c:pt idx="564">
                  <c:v>-41.669685380438402</c:v>
                </c:pt>
                <c:pt idx="565">
                  <c:v>-41.673819462068806</c:v>
                </c:pt>
                <c:pt idx="566">
                  <c:v>-41.679137687925525</c:v>
                </c:pt>
                <c:pt idx="567">
                  <c:v>-41.68958936482089</c:v>
                </c:pt>
                <c:pt idx="568">
                  <c:v>-41.704773871805969</c:v>
                </c:pt>
                <c:pt idx="569">
                  <c:v>-41.73258022002603</c:v>
                </c:pt>
                <c:pt idx="570">
                  <c:v>-41.77682139835278</c:v>
                </c:pt>
                <c:pt idx="571">
                  <c:v>-41.860107298274905</c:v>
                </c:pt>
                <c:pt idx="572">
                  <c:v>-41.996923721233202</c:v>
                </c:pt>
                <c:pt idx="573">
                  <c:v>-42.271723123340692</c:v>
                </c:pt>
                <c:pt idx="574">
                  <c:v>-42.718329781296539</c:v>
                </c:pt>
                <c:pt idx="575">
                  <c:v>-42.799974447409831</c:v>
                </c:pt>
                <c:pt idx="576">
                  <c:v>-42.799974447409838</c:v>
                </c:pt>
                <c:pt idx="577">
                  <c:v>-43.942974447409838</c:v>
                </c:pt>
                <c:pt idx="578">
                  <c:v>-43.942974447409838</c:v>
                </c:pt>
                <c:pt idx="579">
                  <c:v>-43.942975447409836</c:v>
                </c:pt>
                <c:pt idx="580">
                  <c:v>-43.943524337825579</c:v>
                </c:pt>
                <c:pt idx="581">
                  <c:v>-43.945569917649209</c:v>
                </c:pt>
                <c:pt idx="582">
                  <c:v>-43.947986545437864</c:v>
                </c:pt>
                <c:pt idx="583">
                  <c:v>-43.952120627068268</c:v>
                </c:pt>
                <c:pt idx="584">
                  <c:v>-43.957438852924987</c:v>
                </c:pt>
                <c:pt idx="585">
                  <c:v>-43.967890529820352</c:v>
                </c:pt>
                <c:pt idx="586">
                  <c:v>-43.983075036805431</c:v>
                </c:pt>
                <c:pt idx="587">
                  <c:v>-44.010881385025492</c:v>
                </c:pt>
                <c:pt idx="588">
                  <c:v>-44.055122563352242</c:v>
                </c:pt>
                <c:pt idx="589">
                  <c:v>-44.138408463274367</c:v>
                </c:pt>
                <c:pt idx="590">
                  <c:v>-44.275224886232664</c:v>
                </c:pt>
                <c:pt idx="591">
                  <c:v>-44.550024288340154</c:v>
                </c:pt>
                <c:pt idx="592">
                  <c:v>-44.996630946296001</c:v>
                </c:pt>
                <c:pt idx="593">
                  <c:v>-45.078275612409293</c:v>
                </c:pt>
                <c:pt idx="594">
                  <c:v>-45.0782756124093</c:v>
                </c:pt>
                <c:pt idx="595">
                  <c:v>-46.2212756124093</c:v>
                </c:pt>
                <c:pt idx="596">
                  <c:v>-46.2212756124093</c:v>
                </c:pt>
                <c:pt idx="597">
                  <c:v>-46.221276612409298</c:v>
                </c:pt>
                <c:pt idx="598">
                  <c:v>-46.221825502825041</c:v>
                </c:pt>
                <c:pt idx="599">
                  <c:v>-46.223871082648671</c:v>
                </c:pt>
                <c:pt idx="600">
                  <c:v>-46.226287710437326</c:v>
                </c:pt>
                <c:pt idx="601">
                  <c:v>-46.23042179206773</c:v>
                </c:pt>
                <c:pt idx="602">
                  <c:v>-46.235740017924449</c:v>
                </c:pt>
                <c:pt idx="603">
                  <c:v>-46.246191694819814</c:v>
                </c:pt>
                <c:pt idx="604">
                  <c:v>-46.261376201804893</c:v>
                </c:pt>
                <c:pt idx="605">
                  <c:v>-46.289182550024954</c:v>
                </c:pt>
                <c:pt idx="606">
                  <c:v>-46.333423728351704</c:v>
                </c:pt>
                <c:pt idx="607">
                  <c:v>-46.416709628273829</c:v>
                </c:pt>
                <c:pt idx="608">
                  <c:v>-46.553526051232126</c:v>
                </c:pt>
                <c:pt idx="609">
                  <c:v>-46.828325453339616</c:v>
                </c:pt>
                <c:pt idx="610">
                  <c:v>-47.274932111295463</c:v>
                </c:pt>
                <c:pt idx="611">
                  <c:v>-47.356576777408755</c:v>
                </c:pt>
                <c:pt idx="612">
                  <c:v>-47.356576777408748</c:v>
                </c:pt>
                <c:pt idx="613">
                  <c:v>-48.499576777408748</c:v>
                </c:pt>
                <c:pt idx="614">
                  <c:v>-48.499576777408748</c:v>
                </c:pt>
                <c:pt idx="615">
                  <c:v>-48.499577777408746</c:v>
                </c:pt>
                <c:pt idx="616">
                  <c:v>-48.500126667824489</c:v>
                </c:pt>
                <c:pt idx="617">
                  <c:v>-48.502172247648119</c:v>
                </c:pt>
                <c:pt idx="618">
                  <c:v>-48.504588875436774</c:v>
                </c:pt>
                <c:pt idx="619">
                  <c:v>-48.508722957067178</c:v>
                </c:pt>
                <c:pt idx="620">
                  <c:v>-48.514041182923897</c:v>
                </c:pt>
                <c:pt idx="621">
                  <c:v>-48.524492859819262</c:v>
                </c:pt>
                <c:pt idx="622">
                  <c:v>-48.539677366804341</c:v>
                </c:pt>
                <c:pt idx="623">
                  <c:v>-48.567483715024402</c:v>
                </c:pt>
                <c:pt idx="624">
                  <c:v>-48.611724893351152</c:v>
                </c:pt>
                <c:pt idx="625">
                  <c:v>-48.695010793273276</c:v>
                </c:pt>
                <c:pt idx="626">
                  <c:v>-48.831827216231574</c:v>
                </c:pt>
                <c:pt idx="627">
                  <c:v>-49.106626618339064</c:v>
                </c:pt>
                <c:pt idx="628">
                  <c:v>-49.553233276294911</c:v>
                </c:pt>
                <c:pt idx="629">
                  <c:v>-49.634877942408203</c:v>
                </c:pt>
                <c:pt idx="630">
                  <c:v>-49.63487794240821</c:v>
                </c:pt>
                <c:pt idx="631">
                  <c:v>-50.77787794240821</c:v>
                </c:pt>
                <c:pt idx="632">
                  <c:v>-50.77787794240821</c:v>
                </c:pt>
                <c:pt idx="633">
                  <c:v>-50.777878942408208</c:v>
                </c:pt>
                <c:pt idx="634">
                  <c:v>-50.778427832823951</c:v>
                </c:pt>
                <c:pt idx="635">
                  <c:v>-50.780473412647581</c:v>
                </c:pt>
                <c:pt idx="636">
                  <c:v>-50.782890040436236</c:v>
                </c:pt>
                <c:pt idx="637">
                  <c:v>-50.78702412206664</c:v>
                </c:pt>
                <c:pt idx="638">
                  <c:v>-50.792342347923359</c:v>
                </c:pt>
                <c:pt idx="639">
                  <c:v>-50.802794024818724</c:v>
                </c:pt>
                <c:pt idx="640">
                  <c:v>-50.817978531803803</c:v>
                </c:pt>
                <c:pt idx="641">
                  <c:v>-50.845784880023864</c:v>
                </c:pt>
                <c:pt idx="642">
                  <c:v>-50.890026058350614</c:v>
                </c:pt>
                <c:pt idx="643">
                  <c:v>-50.973311958272738</c:v>
                </c:pt>
                <c:pt idx="644">
                  <c:v>-51.110128381231036</c:v>
                </c:pt>
                <c:pt idx="645">
                  <c:v>-51.384927783338526</c:v>
                </c:pt>
                <c:pt idx="646">
                  <c:v>-51.831534441294373</c:v>
                </c:pt>
                <c:pt idx="647">
                  <c:v>-51.913179107407665</c:v>
                </c:pt>
                <c:pt idx="648">
                  <c:v>-51.913179107407672</c:v>
                </c:pt>
                <c:pt idx="649">
                  <c:v>-53.056179107407672</c:v>
                </c:pt>
                <c:pt idx="650">
                  <c:v>-53.056179107407672</c:v>
                </c:pt>
                <c:pt idx="651">
                  <c:v>-53.05618010740767</c:v>
                </c:pt>
                <c:pt idx="652">
                  <c:v>-53.056728997823413</c:v>
                </c:pt>
                <c:pt idx="653">
                  <c:v>-53.058774577647043</c:v>
                </c:pt>
                <c:pt idx="654">
                  <c:v>-53.061191205435698</c:v>
                </c:pt>
                <c:pt idx="655">
                  <c:v>-53.065325287066102</c:v>
                </c:pt>
                <c:pt idx="656">
                  <c:v>-53.070643512922821</c:v>
                </c:pt>
                <c:pt idx="657">
                  <c:v>-53.081095189818186</c:v>
                </c:pt>
                <c:pt idx="658">
                  <c:v>-53.096279696803265</c:v>
                </c:pt>
                <c:pt idx="659">
                  <c:v>-53.124086045023326</c:v>
                </c:pt>
                <c:pt idx="660">
                  <c:v>-53.168327223350076</c:v>
                </c:pt>
                <c:pt idx="661">
                  <c:v>-53.2516131232722</c:v>
                </c:pt>
                <c:pt idx="662">
                  <c:v>-53.388429546230498</c:v>
                </c:pt>
                <c:pt idx="663">
                  <c:v>-53.663228948337988</c:v>
                </c:pt>
                <c:pt idx="664">
                  <c:v>-54.109835606293835</c:v>
                </c:pt>
                <c:pt idx="665">
                  <c:v>-54.191480272407127</c:v>
                </c:pt>
                <c:pt idx="666">
                  <c:v>-54.191480272407119</c:v>
                </c:pt>
                <c:pt idx="667">
                  <c:v>-55.33448027240712</c:v>
                </c:pt>
                <c:pt idx="668">
                  <c:v>-55.33448027240712</c:v>
                </c:pt>
                <c:pt idx="669">
                  <c:v>-55.334481272407118</c:v>
                </c:pt>
                <c:pt idx="670">
                  <c:v>-55.335030162822861</c:v>
                </c:pt>
                <c:pt idx="671">
                  <c:v>-55.337075742646491</c:v>
                </c:pt>
                <c:pt idx="672">
                  <c:v>-55.339492370435146</c:v>
                </c:pt>
                <c:pt idx="673">
                  <c:v>-55.34362645206555</c:v>
                </c:pt>
                <c:pt idx="674">
                  <c:v>-55.348944677922269</c:v>
                </c:pt>
                <c:pt idx="675">
                  <c:v>-55.359396354817633</c:v>
                </c:pt>
              </c:numCache>
            </c:numRef>
          </c:xVal>
          <c:yVal>
            <c:numRef>
              <c:f>V_SG_1_V_SL_1_1cP!$AB$56:$AB$731</c:f>
              <c:numCache>
                <c:formatCode>General</c:formatCode>
                <c:ptCount val="676"/>
                <c:pt idx="0">
                  <c:v>0.77145643900915783</c:v>
                </c:pt>
                <c:pt idx="1">
                  <c:v>0.77145643900915783</c:v>
                </c:pt>
                <c:pt idx="2">
                  <c:v>0.77068498257014872</c:v>
                </c:pt>
                <c:pt idx="3">
                  <c:v>0.77067300983892906</c:v>
                </c:pt>
                <c:pt idx="4">
                  <c:v>0.76448695437332481</c:v>
                </c:pt>
                <c:pt idx="5">
                  <c:v>0.7462179928210797</c:v>
                </c:pt>
                <c:pt idx="6">
                  <c:v>0.73027266839631366</c:v>
                </c:pt>
                <c:pt idx="7">
                  <c:v>0.7101552774493437</c:v>
                </c:pt>
                <c:pt idx="8">
                  <c:v>0.69122254011085482</c:v>
                </c:pt>
                <c:pt idx="9">
                  <c:v>0.66499411019811316</c:v>
                </c:pt>
                <c:pt idx="10">
                  <c:v>0.63909697400592513</c:v>
                </c:pt>
                <c:pt idx="11">
                  <c:v>0.60781973946339873</c:v>
                </c:pt>
                <c:pt idx="12">
                  <c:v>0.57612627611480016</c:v>
                </c:pt>
                <c:pt idx="13">
                  <c:v>0.53973940308666546</c:v>
                </c:pt>
                <c:pt idx="14">
                  <c:v>0.50459598065778399</c:v>
                </c:pt>
                <c:pt idx="15">
                  <c:v>0.4654409702187336</c:v>
                </c:pt>
                <c:pt idx="16">
                  <c:v>0.43134659976949657</c:v>
                </c:pt>
                <c:pt idx="17">
                  <c:v>0.42690955700104</c:v>
                </c:pt>
                <c:pt idx="18">
                  <c:v>0.77145643900915783</c:v>
                </c:pt>
                <c:pt idx="19">
                  <c:v>0.77145643900915783</c:v>
                </c:pt>
                <c:pt idx="20">
                  <c:v>0.77068498257014872</c:v>
                </c:pt>
                <c:pt idx="21">
                  <c:v>0.77067300983892906</c:v>
                </c:pt>
                <c:pt idx="22">
                  <c:v>0.76448695437332481</c:v>
                </c:pt>
                <c:pt idx="23">
                  <c:v>0.7462179928210797</c:v>
                </c:pt>
                <c:pt idx="24">
                  <c:v>0.73027266839631366</c:v>
                </c:pt>
                <c:pt idx="25">
                  <c:v>0.7101552774493437</c:v>
                </c:pt>
                <c:pt idx="26">
                  <c:v>0.69122254011085482</c:v>
                </c:pt>
                <c:pt idx="27">
                  <c:v>0.66499411019811316</c:v>
                </c:pt>
                <c:pt idx="28">
                  <c:v>0.63909697400592513</c:v>
                </c:pt>
                <c:pt idx="29">
                  <c:v>0.60781973946339873</c:v>
                </c:pt>
                <c:pt idx="30">
                  <c:v>0.57612627611480016</c:v>
                </c:pt>
                <c:pt idx="31">
                  <c:v>0.53973940308666546</c:v>
                </c:pt>
                <c:pt idx="32">
                  <c:v>0.50459598065778399</c:v>
                </c:pt>
                <c:pt idx="33">
                  <c:v>0.4654409702187336</c:v>
                </c:pt>
                <c:pt idx="34">
                  <c:v>0.43134659976949657</c:v>
                </c:pt>
                <c:pt idx="35">
                  <c:v>0.42690955700104</c:v>
                </c:pt>
                <c:pt idx="36">
                  <c:v>0.77145643900915783</c:v>
                </c:pt>
                <c:pt idx="37">
                  <c:v>0.77145643900915783</c:v>
                </c:pt>
                <c:pt idx="38">
                  <c:v>0.77068498257014872</c:v>
                </c:pt>
                <c:pt idx="39">
                  <c:v>0.77067300983892906</c:v>
                </c:pt>
                <c:pt idx="40">
                  <c:v>0.76448695437332481</c:v>
                </c:pt>
                <c:pt idx="41">
                  <c:v>0.7462179928210797</c:v>
                </c:pt>
                <c:pt idx="42">
                  <c:v>0.73027266839631366</c:v>
                </c:pt>
                <c:pt idx="43">
                  <c:v>0.7101552774493437</c:v>
                </c:pt>
                <c:pt idx="44">
                  <c:v>0.69122254011085482</c:v>
                </c:pt>
                <c:pt idx="45">
                  <c:v>0.66499411019811316</c:v>
                </c:pt>
                <c:pt idx="46">
                  <c:v>0.63909697400592513</c:v>
                </c:pt>
                <c:pt idx="47">
                  <c:v>0.60781973946339873</c:v>
                </c:pt>
                <c:pt idx="48">
                  <c:v>0.57612627611480016</c:v>
                </c:pt>
                <c:pt idx="49">
                  <c:v>0.53973940308666546</c:v>
                </c:pt>
                <c:pt idx="50">
                  <c:v>0.50459598065778399</c:v>
                </c:pt>
                <c:pt idx="51">
                  <c:v>0.4654409702187336</c:v>
                </c:pt>
                <c:pt idx="52">
                  <c:v>0.43134659976949657</c:v>
                </c:pt>
                <c:pt idx="53">
                  <c:v>0.42690955700104</c:v>
                </c:pt>
                <c:pt idx="54">
                  <c:v>0.77145643900915783</c:v>
                </c:pt>
                <c:pt idx="55">
                  <c:v>0.77145643900915783</c:v>
                </c:pt>
                <c:pt idx="56">
                  <c:v>0.77068498257014872</c:v>
                </c:pt>
                <c:pt idx="57">
                  <c:v>0.77067300983892906</c:v>
                </c:pt>
                <c:pt idx="58">
                  <c:v>0.76448695437332481</c:v>
                </c:pt>
                <c:pt idx="59">
                  <c:v>0.7462179928210797</c:v>
                </c:pt>
                <c:pt idx="60">
                  <c:v>0.73027266839631366</c:v>
                </c:pt>
                <c:pt idx="61">
                  <c:v>0.7101552774493437</c:v>
                </c:pt>
                <c:pt idx="62">
                  <c:v>0.69122254011085482</c:v>
                </c:pt>
                <c:pt idx="63">
                  <c:v>0.66499411019811316</c:v>
                </c:pt>
                <c:pt idx="64">
                  <c:v>0.63909697400592513</c:v>
                </c:pt>
                <c:pt idx="65">
                  <c:v>0.60781973946339873</c:v>
                </c:pt>
                <c:pt idx="66">
                  <c:v>0.57612627611480016</c:v>
                </c:pt>
                <c:pt idx="67">
                  <c:v>0.53973940308666546</c:v>
                </c:pt>
                <c:pt idx="68">
                  <c:v>0.50459598065778399</c:v>
                </c:pt>
                <c:pt idx="69">
                  <c:v>0.4654409702187336</c:v>
                </c:pt>
                <c:pt idx="70">
                  <c:v>0.43134659976949657</c:v>
                </c:pt>
                <c:pt idx="71">
                  <c:v>0.42690955700104</c:v>
                </c:pt>
                <c:pt idx="72">
                  <c:v>0.77145643900915783</c:v>
                </c:pt>
                <c:pt idx="73">
                  <c:v>0.77145643900915783</c:v>
                </c:pt>
                <c:pt idx="74">
                  <c:v>0.77068498257014872</c:v>
                </c:pt>
                <c:pt idx="75">
                  <c:v>0.77067300983892906</c:v>
                </c:pt>
                <c:pt idx="76">
                  <c:v>0.76448695437332481</c:v>
                </c:pt>
                <c:pt idx="77">
                  <c:v>0.7462179928210797</c:v>
                </c:pt>
                <c:pt idx="78">
                  <c:v>0.73027266839631366</c:v>
                </c:pt>
                <c:pt idx="79">
                  <c:v>0.7101552774493437</c:v>
                </c:pt>
                <c:pt idx="80">
                  <c:v>0.69122254011085482</c:v>
                </c:pt>
                <c:pt idx="81">
                  <c:v>0.66499411019811316</c:v>
                </c:pt>
                <c:pt idx="82">
                  <c:v>0.63909697400592513</c:v>
                </c:pt>
                <c:pt idx="83">
                  <c:v>0.60781973946339873</c:v>
                </c:pt>
                <c:pt idx="84">
                  <c:v>0.57612627611480016</c:v>
                </c:pt>
                <c:pt idx="85">
                  <c:v>0.53973940308666546</c:v>
                </c:pt>
                <c:pt idx="86">
                  <c:v>0.50459598065778399</c:v>
                </c:pt>
                <c:pt idx="87">
                  <c:v>0.4654409702187336</c:v>
                </c:pt>
                <c:pt idx="88">
                  <c:v>0.43134659976949657</c:v>
                </c:pt>
                <c:pt idx="89">
                  <c:v>0.42690955700104</c:v>
                </c:pt>
                <c:pt idx="90">
                  <c:v>0.77145643900915783</c:v>
                </c:pt>
                <c:pt idx="91">
                  <c:v>0.77145643900915783</c:v>
                </c:pt>
                <c:pt idx="92">
                  <c:v>0.77068498257014872</c:v>
                </c:pt>
                <c:pt idx="93">
                  <c:v>0.77067300983892906</c:v>
                </c:pt>
                <c:pt idx="94">
                  <c:v>0.76448695437332481</c:v>
                </c:pt>
                <c:pt idx="95">
                  <c:v>0.7462179928210797</c:v>
                </c:pt>
                <c:pt idx="96">
                  <c:v>0.73027266839631366</c:v>
                </c:pt>
                <c:pt idx="97">
                  <c:v>0.7101552774493437</c:v>
                </c:pt>
                <c:pt idx="98">
                  <c:v>0.69122254011085482</c:v>
                </c:pt>
                <c:pt idx="99">
                  <c:v>0.66499411019811316</c:v>
                </c:pt>
                <c:pt idx="100">
                  <c:v>0.63909697400592513</c:v>
                </c:pt>
                <c:pt idx="101">
                  <c:v>0.60781973946339873</c:v>
                </c:pt>
                <c:pt idx="102">
                  <c:v>0.57612627611480016</c:v>
                </c:pt>
                <c:pt idx="103">
                  <c:v>0.53973940308666546</c:v>
                </c:pt>
                <c:pt idx="104">
                  <c:v>0.50459598065778399</c:v>
                </c:pt>
                <c:pt idx="105">
                  <c:v>0.4654409702187336</c:v>
                </c:pt>
                <c:pt idx="106">
                  <c:v>0.43134659976949657</c:v>
                </c:pt>
                <c:pt idx="107">
                  <c:v>0.42690955700104</c:v>
                </c:pt>
                <c:pt idx="108">
                  <c:v>0.77145643900915783</c:v>
                </c:pt>
                <c:pt idx="109">
                  <c:v>0.77145643900915783</c:v>
                </c:pt>
                <c:pt idx="110">
                  <c:v>0.77068498257014872</c:v>
                </c:pt>
                <c:pt idx="111">
                  <c:v>0.77067300983892906</c:v>
                </c:pt>
                <c:pt idx="112">
                  <c:v>0.76448695437332481</c:v>
                </c:pt>
                <c:pt idx="113">
                  <c:v>0.7462179928210797</c:v>
                </c:pt>
                <c:pt idx="114">
                  <c:v>0.73027266839631366</c:v>
                </c:pt>
                <c:pt idx="115">
                  <c:v>0.7101552774493437</c:v>
                </c:pt>
                <c:pt idx="116">
                  <c:v>0.69122254011085482</c:v>
                </c:pt>
                <c:pt idx="117">
                  <c:v>0.66499411019811316</c:v>
                </c:pt>
                <c:pt idx="118">
                  <c:v>0.63909697400592513</c:v>
                </c:pt>
                <c:pt idx="119">
                  <c:v>0.60781973946339873</c:v>
                </c:pt>
                <c:pt idx="120">
                  <c:v>0.57612627611480016</c:v>
                </c:pt>
                <c:pt idx="121">
                  <c:v>0.53973940308666546</c:v>
                </c:pt>
                <c:pt idx="122">
                  <c:v>0.50459598065778399</c:v>
                </c:pt>
                <c:pt idx="123">
                  <c:v>0.4654409702187336</c:v>
                </c:pt>
                <c:pt idx="124">
                  <c:v>0.43134659976949657</c:v>
                </c:pt>
                <c:pt idx="125">
                  <c:v>0.42690955700104</c:v>
                </c:pt>
                <c:pt idx="126">
                  <c:v>0.77145643900915783</c:v>
                </c:pt>
                <c:pt idx="127">
                  <c:v>0.77145643900915783</c:v>
                </c:pt>
                <c:pt idx="128">
                  <c:v>0.77068498257014872</c:v>
                </c:pt>
                <c:pt idx="129">
                  <c:v>0.77067300983892906</c:v>
                </c:pt>
                <c:pt idx="130">
                  <c:v>0.76448695437332481</c:v>
                </c:pt>
                <c:pt idx="131">
                  <c:v>0.7462179928210797</c:v>
                </c:pt>
                <c:pt idx="132">
                  <c:v>0.73027266839631366</c:v>
                </c:pt>
                <c:pt idx="133">
                  <c:v>0.7101552774493437</c:v>
                </c:pt>
                <c:pt idx="134">
                  <c:v>0.69122254011085482</c:v>
                </c:pt>
                <c:pt idx="135">
                  <c:v>0.66499411019811316</c:v>
                </c:pt>
                <c:pt idx="136">
                  <c:v>0.63909697400592513</c:v>
                </c:pt>
                <c:pt idx="137">
                  <c:v>0.60781973946339873</c:v>
                </c:pt>
                <c:pt idx="138">
                  <c:v>0.57612627611480016</c:v>
                </c:pt>
                <c:pt idx="139">
                  <c:v>0.53973940308666546</c:v>
                </c:pt>
                <c:pt idx="140">
                  <c:v>0.50459598065778399</c:v>
                </c:pt>
                <c:pt idx="141">
                  <c:v>0.4654409702187336</c:v>
                </c:pt>
                <c:pt idx="142">
                  <c:v>0.43134659976949657</c:v>
                </c:pt>
                <c:pt idx="143">
                  <c:v>0.42690955700104</c:v>
                </c:pt>
                <c:pt idx="144">
                  <c:v>0.77145643900915783</c:v>
                </c:pt>
                <c:pt idx="145">
                  <c:v>0.77145643900915783</c:v>
                </c:pt>
                <c:pt idx="146">
                  <c:v>0.77068498257014872</c:v>
                </c:pt>
                <c:pt idx="147">
                  <c:v>0.77067300983892906</c:v>
                </c:pt>
                <c:pt idx="148">
                  <c:v>0.76448695437332481</c:v>
                </c:pt>
                <c:pt idx="149">
                  <c:v>0.7462179928210797</c:v>
                </c:pt>
                <c:pt idx="150">
                  <c:v>0.73027266839631366</c:v>
                </c:pt>
                <c:pt idx="151">
                  <c:v>0.7101552774493437</c:v>
                </c:pt>
                <c:pt idx="152">
                  <c:v>0.69122254011085482</c:v>
                </c:pt>
                <c:pt idx="153">
                  <c:v>0.66499411019811316</c:v>
                </c:pt>
                <c:pt idx="154">
                  <c:v>0.63909697400592513</c:v>
                </c:pt>
                <c:pt idx="155">
                  <c:v>0.60781973946339873</c:v>
                </c:pt>
                <c:pt idx="156">
                  <c:v>0.57612627611480016</c:v>
                </c:pt>
                <c:pt idx="157">
                  <c:v>0.53973940308666546</c:v>
                </c:pt>
                <c:pt idx="158">
                  <c:v>0.50459598065778399</c:v>
                </c:pt>
                <c:pt idx="159">
                  <c:v>0.4654409702187336</c:v>
                </c:pt>
                <c:pt idx="160">
                  <c:v>0.43134659976949657</c:v>
                </c:pt>
                <c:pt idx="161">
                  <c:v>0.42690955700104</c:v>
                </c:pt>
                <c:pt idx="162">
                  <c:v>0.77145643900915783</c:v>
                </c:pt>
                <c:pt idx="163">
                  <c:v>0.77145643900915783</c:v>
                </c:pt>
                <c:pt idx="164">
                  <c:v>0.77068498257014872</c:v>
                </c:pt>
                <c:pt idx="165">
                  <c:v>0.77067300983892906</c:v>
                </c:pt>
                <c:pt idx="166">
                  <c:v>0.76448695437332481</c:v>
                </c:pt>
                <c:pt idx="167">
                  <c:v>0.7462179928210797</c:v>
                </c:pt>
                <c:pt idx="168">
                  <c:v>0.73027266839631366</c:v>
                </c:pt>
                <c:pt idx="169">
                  <c:v>0.7101552774493437</c:v>
                </c:pt>
                <c:pt idx="170">
                  <c:v>0.69122254011085482</c:v>
                </c:pt>
                <c:pt idx="171">
                  <c:v>0.66499411019811316</c:v>
                </c:pt>
                <c:pt idx="172">
                  <c:v>0.63909697400592513</c:v>
                </c:pt>
                <c:pt idx="173">
                  <c:v>0.60781973946339873</c:v>
                </c:pt>
                <c:pt idx="174">
                  <c:v>0.57612627611480016</c:v>
                </c:pt>
                <c:pt idx="175">
                  <c:v>0.53973940308666546</c:v>
                </c:pt>
                <c:pt idx="176">
                  <c:v>0.50459598065778399</c:v>
                </c:pt>
                <c:pt idx="177">
                  <c:v>0.4654409702187336</c:v>
                </c:pt>
                <c:pt idx="178">
                  <c:v>0.43134659976949657</c:v>
                </c:pt>
                <c:pt idx="179">
                  <c:v>0.42690955700104</c:v>
                </c:pt>
                <c:pt idx="180">
                  <c:v>0.77145643900915783</c:v>
                </c:pt>
                <c:pt idx="181">
                  <c:v>0.77145643900915783</c:v>
                </c:pt>
                <c:pt idx="182">
                  <c:v>0.77068498257014872</c:v>
                </c:pt>
                <c:pt idx="183">
                  <c:v>0.77067300983892906</c:v>
                </c:pt>
                <c:pt idx="184">
                  <c:v>0.76448695437332481</c:v>
                </c:pt>
                <c:pt idx="185">
                  <c:v>0.7462179928210797</c:v>
                </c:pt>
                <c:pt idx="186">
                  <c:v>0.73027266839631366</c:v>
                </c:pt>
                <c:pt idx="187">
                  <c:v>0.7101552774493437</c:v>
                </c:pt>
                <c:pt idx="188">
                  <c:v>0.69122254011085482</c:v>
                </c:pt>
                <c:pt idx="189">
                  <c:v>0.66499411019811316</c:v>
                </c:pt>
                <c:pt idx="190">
                  <c:v>0.63909697400592513</c:v>
                </c:pt>
                <c:pt idx="191">
                  <c:v>0.60781973946339873</c:v>
                </c:pt>
                <c:pt idx="192">
                  <c:v>0.57612627611480016</c:v>
                </c:pt>
                <c:pt idx="193">
                  <c:v>0.53973940308666546</c:v>
                </c:pt>
                <c:pt idx="194">
                  <c:v>0.50459598065778399</c:v>
                </c:pt>
                <c:pt idx="195">
                  <c:v>0.4654409702187336</c:v>
                </c:pt>
                <c:pt idx="196">
                  <c:v>0.43134659976949657</c:v>
                </c:pt>
                <c:pt idx="197">
                  <c:v>0.42690955700104</c:v>
                </c:pt>
                <c:pt idx="198">
                  <c:v>0.77145643900915783</c:v>
                </c:pt>
                <c:pt idx="199">
                  <c:v>0.77145643900915783</c:v>
                </c:pt>
                <c:pt idx="200">
                  <c:v>0.77068498257014872</c:v>
                </c:pt>
                <c:pt idx="201">
                  <c:v>0.77067300983892906</c:v>
                </c:pt>
                <c:pt idx="202">
                  <c:v>0.76448695437332481</c:v>
                </c:pt>
                <c:pt idx="203">
                  <c:v>0.7462179928210797</c:v>
                </c:pt>
                <c:pt idx="204">
                  <c:v>0.73027266839631366</c:v>
                </c:pt>
                <c:pt idx="205">
                  <c:v>0.7101552774493437</c:v>
                </c:pt>
                <c:pt idx="206">
                  <c:v>0.69122254011085482</c:v>
                </c:pt>
                <c:pt idx="207">
                  <c:v>0.66499411019811316</c:v>
                </c:pt>
                <c:pt idx="208">
                  <c:v>0.63909697400592513</c:v>
                </c:pt>
                <c:pt idx="209">
                  <c:v>0.60781973946339873</c:v>
                </c:pt>
                <c:pt idx="210">
                  <c:v>0.57612627611480016</c:v>
                </c:pt>
                <c:pt idx="211">
                  <c:v>0.53973940308666546</c:v>
                </c:pt>
                <c:pt idx="212">
                  <c:v>0.50459598065778399</c:v>
                </c:pt>
                <c:pt idx="213">
                  <c:v>0.4654409702187336</c:v>
                </c:pt>
                <c:pt idx="214">
                  <c:v>0.43134659976949657</c:v>
                </c:pt>
                <c:pt idx="215">
                  <c:v>0.42690955700104</c:v>
                </c:pt>
                <c:pt idx="216">
                  <c:v>0.77145643900915783</c:v>
                </c:pt>
                <c:pt idx="217">
                  <c:v>0.77145643900915783</c:v>
                </c:pt>
                <c:pt idx="218">
                  <c:v>0.77068498257014872</c:v>
                </c:pt>
                <c:pt idx="219">
                  <c:v>0.77067300983892906</c:v>
                </c:pt>
                <c:pt idx="220">
                  <c:v>0.76448695437332481</c:v>
                </c:pt>
                <c:pt idx="221">
                  <c:v>0.7462179928210797</c:v>
                </c:pt>
                <c:pt idx="222">
                  <c:v>0.73027266839631366</c:v>
                </c:pt>
                <c:pt idx="223">
                  <c:v>0.7101552774493437</c:v>
                </c:pt>
                <c:pt idx="224">
                  <c:v>0.69122254011085482</c:v>
                </c:pt>
                <c:pt idx="225">
                  <c:v>0.66499411019811316</c:v>
                </c:pt>
                <c:pt idx="226">
                  <c:v>0.63909697400592513</c:v>
                </c:pt>
                <c:pt idx="227">
                  <c:v>0.60781973946339873</c:v>
                </c:pt>
                <c:pt idx="228">
                  <c:v>0.57612627611480016</c:v>
                </c:pt>
                <c:pt idx="229">
                  <c:v>0.53973940308666546</c:v>
                </c:pt>
                <c:pt idx="230">
                  <c:v>0.50459598065778399</c:v>
                </c:pt>
                <c:pt idx="231">
                  <c:v>0.4654409702187336</c:v>
                </c:pt>
                <c:pt idx="232">
                  <c:v>0.43134659976949657</c:v>
                </c:pt>
                <c:pt idx="233">
                  <c:v>0.42690955700104</c:v>
                </c:pt>
                <c:pt idx="234">
                  <c:v>0.77145643900915783</c:v>
                </c:pt>
                <c:pt idx="235">
                  <c:v>0.77145643900915783</c:v>
                </c:pt>
                <c:pt idx="236">
                  <c:v>0.77068498257014872</c:v>
                </c:pt>
                <c:pt idx="237">
                  <c:v>0.77067300983892906</c:v>
                </c:pt>
                <c:pt idx="238">
                  <c:v>0.76448695437332481</c:v>
                </c:pt>
                <c:pt idx="239">
                  <c:v>0.7462179928210797</c:v>
                </c:pt>
                <c:pt idx="240">
                  <c:v>0.73027266839631366</c:v>
                </c:pt>
                <c:pt idx="241">
                  <c:v>0.7101552774493437</c:v>
                </c:pt>
                <c:pt idx="242">
                  <c:v>0.69122254011085482</c:v>
                </c:pt>
                <c:pt idx="243">
                  <c:v>0.66499411019811316</c:v>
                </c:pt>
                <c:pt idx="244">
                  <c:v>0.63909697400592513</c:v>
                </c:pt>
                <c:pt idx="245">
                  <c:v>0.60781973946339873</c:v>
                </c:pt>
                <c:pt idx="246">
                  <c:v>0.57612627611480016</c:v>
                </c:pt>
                <c:pt idx="247">
                  <c:v>0.53973940308666546</c:v>
                </c:pt>
                <c:pt idx="248">
                  <c:v>0.50459598065778399</c:v>
                </c:pt>
                <c:pt idx="249">
                  <c:v>0.4654409702187336</c:v>
                </c:pt>
                <c:pt idx="250">
                  <c:v>0.43134659976949657</c:v>
                </c:pt>
                <c:pt idx="251">
                  <c:v>0.42690955700104</c:v>
                </c:pt>
                <c:pt idx="252">
                  <c:v>0.77145643900915783</c:v>
                </c:pt>
                <c:pt idx="253">
                  <c:v>0.77145643900915783</c:v>
                </c:pt>
                <c:pt idx="254">
                  <c:v>0.77068498257014872</c:v>
                </c:pt>
                <c:pt idx="255">
                  <c:v>0.77067300983892906</c:v>
                </c:pt>
                <c:pt idx="256">
                  <c:v>0.76448695437332481</c:v>
                </c:pt>
                <c:pt idx="257">
                  <c:v>0.7462179928210797</c:v>
                </c:pt>
                <c:pt idx="258">
                  <c:v>0.73027266839631366</c:v>
                </c:pt>
                <c:pt idx="259">
                  <c:v>0.7101552774493437</c:v>
                </c:pt>
                <c:pt idx="260">
                  <c:v>0.69122254011085482</c:v>
                </c:pt>
                <c:pt idx="261">
                  <c:v>0.66499411019811316</c:v>
                </c:pt>
                <c:pt idx="262">
                  <c:v>0.63909697400592513</c:v>
                </c:pt>
                <c:pt idx="263">
                  <c:v>0.60781973946339873</c:v>
                </c:pt>
                <c:pt idx="264">
                  <c:v>0.57612627611480016</c:v>
                </c:pt>
                <c:pt idx="265">
                  <c:v>0.53973940308666546</c:v>
                </c:pt>
                <c:pt idx="266">
                  <c:v>0.50459598065778399</c:v>
                </c:pt>
                <c:pt idx="267">
                  <c:v>0.4654409702187336</c:v>
                </c:pt>
                <c:pt idx="268">
                  <c:v>0.43134659976949657</c:v>
                </c:pt>
                <c:pt idx="269">
                  <c:v>0.42690955700104</c:v>
                </c:pt>
                <c:pt idx="270">
                  <c:v>0.77145643900915783</c:v>
                </c:pt>
                <c:pt idx="271">
                  <c:v>0.77145643900915783</c:v>
                </c:pt>
                <c:pt idx="272">
                  <c:v>0.77068498257014872</c:v>
                </c:pt>
                <c:pt idx="273">
                  <c:v>0.77067300983892906</c:v>
                </c:pt>
                <c:pt idx="274">
                  <c:v>0.76448695437332481</c:v>
                </c:pt>
                <c:pt idx="275">
                  <c:v>0.7462179928210797</c:v>
                </c:pt>
                <c:pt idx="276">
                  <c:v>0.73027266839631366</c:v>
                </c:pt>
                <c:pt idx="277">
                  <c:v>0.7101552774493437</c:v>
                </c:pt>
                <c:pt idx="278">
                  <c:v>0.69122254011085482</c:v>
                </c:pt>
                <c:pt idx="279">
                  <c:v>0.66499411019811316</c:v>
                </c:pt>
                <c:pt idx="280">
                  <c:v>0.63909697400592513</c:v>
                </c:pt>
                <c:pt idx="281">
                  <c:v>0.60781973946339873</c:v>
                </c:pt>
                <c:pt idx="282">
                  <c:v>0.57612627611480016</c:v>
                </c:pt>
                <c:pt idx="283">
                  <c:v>0.53973940308666546</c:v>
                </c:pt>
                <c:pt idx="284">
                  <c:v>0.50459598065778399</c:v>
                </c:pt>
                <c:pt idx="285">
                  <c:v>0.4654409702187336</c:v>
                </c:pt>
                <c:pt idx="286">
                  <c:v>0.43134659976949657</c:v>
                </c:pt>
                <c:pt idx="287">
                  <c:v>0.42690955700104</c:v>
                </c:pt>
                <c:pt idx="288">
                  <c:v>0.77145643900915783</c:v>
                </c:pt>
                <c:pt idx="289">
                  <c:v>0.77145643900915783</c:v>
                </c:pt>
                <c:pt idx="290">
                  <c:v>0.77068498257014872</c:v>
                </c:pt>
                <c:pt idx="291">
                  <c:v>0.77067300983892906</c:v>
                </c:pt>
                <c:pt idx="292">
                  <c:v>0.76448695437332481</c:v>
                </c:pt>
                <c:pt idx="293">
                  <c:v>0.7462179928210797</c:v>
                </c:pt>
                <c:pt idx="294">
                  <c:v>0.73027266839631366</c:v>
                </c:pt>
                <c:pt idx="295">
                  <c:v>0.7101552774493437</c:v>
                </c:pt>
                <c:pt idx="296">
                  <c:v>0.69122254011085482</c:v>
                </c:pt>
                <c:pt idx="297">
                  <c:v>0.66499411019811316</c:v>
                </c:pt>
                <c:pt idx="298">
                  <c:v>0.63909697400592513</c:v>
                </c:pt>
                <c:pt idx="299">
                  <c:v>0.60781973946339873</c:v>
                </c:pt>
                <c:pt idx="300">
                  <c:v>0.57612627611480016</c:v>
                </c:pt>
                <c:pt idx="301">
                  <c:v>0.53973940308666546</c:v>
                </c:pt>
                <c:pt idx="302">
                  <c:v>0.50459598065778399</c:v>
                </c:pt>
                <c:pt idx="303">
                  <c:v>0.4654409702187336</c:v>
                </c:pt>
                <c:pt idx="304">
                  <c:v>0.43134659976949657</c:v>
                </c:pt>
                <c:pt idx="305">
                  <c:v>0.42690955700104</c:v>
                </c:pt>
                <c:pt idx="306">
                  <c:v>0.77145643900915783</c:v>
                </c:pt>
                <c:pt idx="307">
                  <c:v>0.77145643900915783</c:v>
                </c:pt>
                <c:pt idx="308">
                  <c:v>0.77068498257014872</c:v>
                </c:pt>
                <c:pt idx="309">
                  <c:v>0.77067300983892906</c:v>
                </c:pt>
                <c:pt idx="310">
                  <c:v>0.76448695437332481</c:v>
                </c:pt>
                <c:pt idx="311">
                  <c:v>0.7462179928210797</c:v>
                </c:pt>
                <c:pt idx="312">
                  <c:v>0.73027266839631366</c:v>
                </c:pt>
                <c:pt idx="313">
                  <c:v>0.7101552774493437</c:v>
                </c:pt>
                <c:pt idx="314">
                  <c:v>0.69122254011085482</c:v>
                </c:pt>
                <c:pt idx="315">
                  <c:v>0.66499411019811316</c:v>
                </c:pt>
                <c:pt idx="316">
                  <c:v>0.63909697400592513</c:v>
                </c:pt>
                <c:pt idx="317">
                  <c:v>0.60781973946339873</c:v>
                </c:pt>
                <c:pt idx="318">
                  <c:v>0.57612627611480016</c:v>
                </c:pt>
                <c:pt idx="319">
                  <c:v>0.53973940308666546</c:v>
                </c:pt>
                <c:pt idx="320">
                  <c:v>0.50459598065778399</c:v>
                </c:pt>
                <c:pt idx="321">
                  <c:v>0.4654409702187336</c:v>
                </c:pt>
                <c:pt idx="322">
                  <c:v>0.43134659976949657</c:v>
                </c:pt>
                <c:pt idx="323">
                  <c:v>0.42690955700104</c:v>
                </c:pt>
                <c:pt idx="324">
                  <c:v>0.77145643900915783</c:v>
                </c:pt>
                <c:pt idx="325">
                  <c:v>0.77145643900915783</c:v>
                </c:pt>
                <c:pt idx="326">
                  <c:v>0.77068498257014872</c:v>
                </c:pt>
                <c:pt idx="327">
                  <c:v>0.77067300983892906</c:v>
                </c:pt>
                <c:pt idx="328">
                  <c:v>0.76448695437332481</c:v>
                </c:pt>
                <c:pt idx="329">
                  <c:v>0.7462179928210797</c:v>
                </c:pt>
                <c:pt idx="330">
                  <c:v>0.73027266839631366</c:v>
                </c:pt>
                <c:pt idx="331">
                  <c:v>0.7101552774493437</c:v>
                </c:pt>
                <c:pt idx="332">
                  <c:v>0.69122254011085482</c:v>
                </c:pt>
                <c:pt idx="333">
                  <c:v>0.66499411019811316</c:v>
                </c:pt>
                <c:pt idx="334">
                  <c:v>0.63909697400592513</c:v>
                </c:pt>
                <c:pt idx="335">
                  <c:v>0.60781973946339873</c:v>
                </c:pt>
                <c:pt idx="336">
                  <c:v>0.57612627611480016</c:v>
                </c:pt>
                <c:pt idx="337">
                  <c:v>0.53973940308666546</c:v>
                </c:pt>
                <c:pt idx="338">
                  <c:v>0.50459598065778399</c:v>
                </c:pt>
                <c:pt idx="339">
                  <c:v>0.4654409702187336</c:v>
                </c:pt>
                <c:pt idx="340">
                  <c:v>0.43134659976949657</c:v>
                </c:pt>
                <c:pt idx="341">
                  <c:v>0.42690955700104</c:v>
                </c:pt>
                <c:pt idx="342">
                  <c:v>0.77145643900915783</c:v>
                </c:pt>
                <c:pt idx="343">
                  <c:v>0.77145643900915783</c:v>
                </c:pt>
                <c:pt idx="344">
                  <c:v>0.77068498257014872</c:v>
                </c:pt>
                <c:pt idx="345">
                  <c:v>0.77067300983892906</c:v>
                </c:pt>
                <c:pt idx="346">
                  <c:v>0.76448695437332481</c:v>
                </c:pt>
                <c:pt idx="347">
                  <c:v>0.7462179928210797</c:v>
                </c:pt>
                <c:pt idx="348">
                  <c:v>0.73027266839631366</c:v>
                </c:pt>
                <c:pt idx="349">
                  <c:v>0.7101552774493437</c:v>
                </c:pt>
                <c:pt idx="350">
                  <c:v>0.69122254011085482</c:v>
                </c:pt>
                <c:pt idx="351">
                  <c:v>0.66499411019811316</c:v>
                </c:pt>
                <c:pt idx="352">
                  <c:v>0.63909697400592513</c:v>
                </c:pt>
                <c:pt idx="353">
                  <c:v>0.60781973946339873</c:v>
                </c:pt>
                <c:pt idx="354">
                  <c:v>0.57612627611480016</c:v>
                </c:pt>
                <c:pt idx="355">
                  <c:v>0.53973940308666546</c:v>
                </c:pt>
                <c:pt idx="356">
                  <c:v>0.50459598065778399</c:v>
                </c:pt>
                <c:pt idx="357">
                  <c:v>0.4654409702187336</c:v>
                </c:pt>
                <c:pt idx="358">
                  <c:v>0.43134659976949657</c:v>
                </c:pt>
                <c:pt idx="359">
                  <c:v>0.42690955700104</c:v>
                </c:pt>
                <c:pt idx="360">
                  <c:v>0.77145643900915783</c:v>
                </c:pt>
                <c:pt idx="361">
                  <c:v>0.77145643900915783</c:v>
                </c:pt>
                <c:pt idx="362">
                  <c:v>0.77068498257014872</c:v>
                </c:pt>
                <c:pt idx="363">
                  <c:v>0.77067300983892906</c:v>
                </c:pt>
                <c:pt idx="364">
                  <c:v>0.76448695437332481</c:v>
                </c:pt>
                <c:pt idx="365">
                  <c:v>0.7462179928210797</c:v>
                </c:pt>
                <c:pt idx="366">
                  <c:v>0.73027266839631366</c:v>
                </c:pt>
                <c:pt idx="367">
                  <c:v>0.7101552774493437</c:v>
                </c:pt>
                <c:pt idx="368">
                  <c:v>0.69122254011085482</c:v>
                </c:pt>
                <c:pt idx="369">
                  <c:v>0.66499411019811316</c:v>
                </c:pt>
                <c:pt idx="370">
                  <c:v>0.63909697400592513</c:v>
                </c:pt>
                <c:pt idx="371">
                  <c:v>0.60781973946339873</c:v>
                </c:pt>
                <c:pt idx="372">
                  <c:v>0.57612627611480016</c:v>
                </c:pt>
                <c:pt idx="373">
                  <c:v>0.53973940308666546</c:v>
                </c:pt>
                <c:pt idx="374">
                  <c:v>0.50459598065778399</c:v>
                </c:pt>
                <c:pt idx="375">
                  <c:v>0.4654409702187336</c:v>
                </c:pt>
                <c:pt idx="376">
                  <c:v>0.43134659976949657</c:v>
                </c:pt>
                <c:pt idx="377">
                  <c:v>0.42690955700104</c:v>
                </c:pt>
                <c:pt idx="378">
                  <c:v>0.77145643900915783</c:v>
                </c:pt>
                <c:pt idx="379">
                  <c:v>0.77145643900915783</c:v>
                </c:pt>
                <c:pt idx="380">
                  <c:v>0.77068498257014872</c:v>
                </c:pt>
                <c:pt idx="381">
                  <c:v>0.77067300983892906</c:v>
                </c:pt>
                <c:pt idx="382">
                  <c:v>0.76448695437332481</c:v>
                </c:pt>
                <c:pt idx="383">
                  <c:v>0.7462179928210797</c:v>
                </c:pt>
                <c:pt idx="384">
                  <c:v>0.73027266839631366</c:v>
                </c:pt>
                <c:pt idx="385">
                  <c:v>0.7101552774493437</c:v>
                </c:pt>
                <c:pt idx="386">
                  <c:v>0.69122254011085482</c:v>
                </c:pt>
                <c:pt idx="387">
                  <c:v>0.66499411019811316</c:v>
                </c:pt>
                <c:pt idx="388">
                  <c:v>0.63909697400592513</c:v>
                </c:pt>
                <c:pt idx="389">
                  <c:v>0.60781973946339873</c:v>
                </c:pt>
                <c:pt idx="390">
                  <c:v>0.57612627611480016</c:v>
                </c:pt>
                <c:pt idx="391">
                  <c:v>0.53973940308666546</c:v>
                </c:pt>
                <c:pt idx="392">
                  <c:v>0.50459598065778399</c:v>
                </c:pt>
                <c:pt idx="393">
                  <c:v>0.4654409702187336</c:v>
                </c:pt>
                <c:pt idx="394">
                  <c:v>0.43134659976949657</c:v>
                </c:pt>
                <c:pt idx="395">
                  <c:v>0.42690955700104</c:v>
                </c:pt>
                <c:pt idx="396">
                  <c:v>0.77145643900915783</c:v>
                </c:pt>
                <c:pt idx="397">
                  <c:v>0.77145643900915783</c:v>
                </c:pt>
                <c:pt idx="398">
                  <c:v>0.77068498257014872</c:v>
                </c:pt>
                <c:pt idx="399">
                  <c:v>0.77067300983892906</c:v>
                </c:pt>
                <c:pt idx="400">
                  <c:v>0.76448695437332481</c:v>
                </c:pt>
                <c:pt idx="401">
                  <c:v>0.7462179928210797</c:v>
                </c:pt>
                <c:pt idx="402">
                  <c:v>0.73027266839631366</c:v>
                </c:pt>
                <c:pt idx="403">
                  <c:v>0.7101552774493437</c:v>
                </c:pt>
                <c:pt idx="404">
                  <c:v>0.69122254011085482</c:v>
                </c:pt>
                <c:pt idx="405">
                  <c:v>0.66499411019811316</c:v>
                </c:pt>
                <c:pt idx="406">
                  <c:v>0.63909697400592513</c:v>
                </c:pt>
                <c:pt idx="407">
                  <c:v>0.60781973946339873</c:v>
                </c:pt>
                <c:pt idx="408">
                  <c:v>0.57612627611480016</c:v>
                </c:pt>
                <c:pt idx="409">
                  <c:v>0.53973940308666546</c:v>
                </c:pt>
                <c:pt idx="410">
                  <c:v>0.50459598065778399</c:v>
                </c:pt>
                <c:pt idx="411">
                  <c:v>0.4654409702187336</c:v>
                </c:pt>
                <c:pt idx="412">
                  <c:v>0.43134659976949657</c:v>
                </c:pt>
                <c:pt idx="413">
                  <c:v>0.42690955700104</c:v>
                </c:pt>
                <c:pt idx="414">
                  <c:v>0.77145643900915783</c:v>
                </c:pt>
                <c:pt idx="415">
                  <c:v>0.77145643900915783</c:v>
                </c:pt>
                <c:pt idx="416">
                  <c:v>0.77068498257014872</c:v>
                </c:pt>
                <c:pt idx="417">
                  <c:v>0.77067300983892906</c:v>
                </c:pt>
                <c:pt idx="418">
                  <c:v>0.76448695437332481</c:v>
                </c:pt>
                <c:pt idx="419">
                  <c:v>0.7462179928210797</c:v>
                </c:pt>
                <c:pt idx="420">
                  <c:v>0.73027266839631366</c:v>
                </c:pt>
                <c:pt idx="421">
                  <c:v>0.7101552774493437</c:v>
                </c:pt>
                <c:pt idx="422">
                  <c:v>0.69122254011085482</c:v>
                </c:pt>
                <c:pt idx="423">
                  <c:v>0.66499411019811316</c:v>
                </c:pt>
                <c:pt idx="424">
                  <c:v>0.63909697400592513</c:v>
                </c:pt>
                <c:pt idx="425">
                  <c:v>0.60781973946339873</c:v>
                </c:pt>
                <c:pt idx="426">
                  <c:v>0.57612627611480016</c:v>
                </c:pt>
                <c:pt idx="427">
                  <c:v>0.53973940308666546</c:v>
                </c:pt>
                <c:pt idx="428">
                  <c:v>0.50459598065778399</c:v>
                </c:pt>
                <c:pt idx="429">
                  <c:v>0.4654409702187336</c:v>
                </c:pt>
                <c:pt idx="430">
                  <c:v>0.43134659976949657</c:v>
                </c:pt>
                <c:pt idx="431">
                  <c:v>0.42690955700104</c:v>
                </c:pt>
                <c:pt idx="432">
                  <c:v>0.77145643900915783</c:v>
                </c:pt>
                <c:pt idx="433">
                  <c:v>0.77145643900915783</c:v>
                </c:pt>
                <c:pt idx="434">
                  <c:v>0.77068498257014872</c:v>
                </c:pt>
                <c:pt idx="435">
                  <c:v>0.77067300983892906</c:v>
                </c:pt>
                <c:pt idx="436">
                  <c:v>0.76448695437332481</c:v>
                </c:pt>
                <c:pt idx="437">
                  <c:v>0.7462179928210797</c:v>
                </c:pt>
                <c:pt idx="438">
                  <c:v>0.73027266839631366</c:v>
                </c:pt>
                <c:pt idx="439">
                  <c:v>0.7101552774493437</c:v>
                </c:pt>
                <c:pt idx="440">
                  <c:v>0.69122254011085482</c:v>
                </c:pt>
                <c:pt idx="441">
                  <c:v>0.66499411019811316</c:v>
                </c:pt>
                <c:pt idx="442">
                  <c:v>0.63909697400592513</c:v>
                </c:pt>
                <c:pt idx="443">
                  <c:v>0.60781973946339873</c:v>
                </c:pt>
                <c:pt idx="444">
                  <c:v>0.57612627611480016</c:v>
                </c:pt>
                <c:pt idx="445">
                  <c:v>0.53973940308666546</c:v>
                </c:pt>
                <c:pt idx="446">
                  <c:v>0.50459598065778399</c:v>
                </c:pt>
                <c:pt idx="447">
                  <c:v>0.4654409702187336</c:v>
                </c:pt>
                <c:pt idx="448">
                  <c:v>0.43134659976949657</c:v>
                </c:pt>
                <c:pt idx="449">
                  <c:v>0.42690955700104</c:v>
                </c:pt>
                <c:pt idx="450">
                  <c:v>0.77145643900915783</c:v>
                </c:pt>
                <c:pt idx="451">
                  <c:v>0.77145643900915783</c:v>
                </c:pt>
                <c:pt idx="452">
                  <c:v>0.77068498257014872</c:v>
                </c:pt>
                <c:pt idx="453">
                  <c:v>0.77067300983892906</c:v>
                </c:pt>
                <c:pt idx="454">
                  <c:v>0.76448695437332481</c:v>
                </c:pt>
                <c:pt idx="455">
                  <c:v>0.7462179928210797</c:v>
                </c:pt>
                <c:pt idx="456">
                  <c:v>0.73027266839631366</c:v>
                </c:pt>
                <c:pt idx="457">
                  <c:v>0.7101552774493437</c:v>
                </c:pt>
                <c:pt idx="458">
                  <c:v>0.69122254011085482</c:v>
                </c:pt>
                <c:pt idx="459">
                  <c:v>0.66499411019811316</c:v>
                </c:pt>
                <c:pt idx="460">
                  <c:v>0.63909697400592513</c:v>
                </c:pt>
                <c:pt idx="461">
                  <c:v>0.60781973946339873</c:v>
                </c:pt>
                <c:pt idx="462">
                  <c:v>0.57612627611480016</c:v>
                </c:pt>
                <c:pt idx="463">
                  <c:v>0.53973940308666546</c:v>
                </c:pt>
                <c:pt idx="464">
                  <c:v>0.50459598065778399</c:v>
                </c:pt>
                <c:pt idx="465">
                  <c:v>0.4654409702187336</c:v>
                </c:pt>
                <c:pt idx="466">
                  <c:v>0.43134659976949657</c:v>
                </c:pt>
                <c:pt idx="467">
                  <c:v>0.42690955700104</c:v>
                </c:pt>
                <c:pt idx="468">
                  <c:v>0.77145643900915783</c:v>
                </c:pt>
                <c:pt idx="469">
                  <c:v>0.77145643900915783</c:v>
                </c:pt>
                <c:pt idx="470">
                  <c:v>0.77068498257014872</c:v>
                </c:pt>
                <c:pt idx="471">
                  <c:v>0.77067300983892906</c:v>
                </c:pt>
                <c:pt idx="472">
                  <c:v>0.76448695437332481</c:v>
                </c:pt>
                <c:pt idx="473">
                  <c:v>0.7462179928210797</c:v>
                </c:pt>
                <c:pt idx="474">
                  <c:v>0.73027266839631366</c:v>
                </c:pt>
                <c:pt idx="475">
                  <c:v>0.7101552774493437</c:v>
                </c:pt>
                <c:pt idx="476">
                  <c:v>0.69122254011085482</c:v>
                </c:pt>
                <c:pt idx="477">
                  <c:v>0.66499411019811316</c:v>
                </c:pt>
                <c:pt idx="478">
                  <c:v>0.63909697400592513</c:v>
                </c:pt>
                <c:pt idx="479">
                  <c:v>0.60781973946339873</c:v>
                </c:pt>
                <c:pt idx="480">
                  <c:v>0.57612627611480016</c:v>
                </c:pt>
                <c:pt idx="481">
                  <c:v>0.53973940308666546</c:v>
                </c:pt>
                <c:pt idx="482">
                  <c:v>0.50459598065778399</c:v>
                </c:pt>
                <c:pt idx="483">
                  <c:v>0.4654409702187336</c:v>
                </c:pt>
                <c:pt idx="484">
                  <c:v>0.43134659976949657</c:v>
                </c:pt>
                <c:pt idx="485">
                  <c:v>0.42690955700104</c:v>
                </c:pt>
                <c:pt idx="486">
                  <c:v>0.77145643900915783</c:v>
                </c:pt>
                <c:pt idx="487">
                  <c:v>0.77145643900915783</c:v>
                </c:pt>
                <c:pt idx="488">
                  <c:v>0.77068498257014872</c:v>
                </c:pt>
                <c:pt idx="489">
                  <c:v>0.77067300983892906</c:v>
                </c:pt>
                <c:pt idx="490">
                  <c:v>0.76448695437332481</c:v>
                </c:pt>
                <c:pt idx="491">
                  <c:v>0.7462179928210797</c:v>
                </c:pt>
                <c:pt idx="492">
                  <c:v>0.73027266839631366</c:v>
                </c:pt>
                <c:pt idx="493">
                  <c:v>0.7101552774493437</c:v>
                </c:pt>
                <c:pt idx="494">
                  <c:v>0.69122254011085482</c:v>
                </c:pt>
                <c:pt idx="495">
                  <c:v>0.66499411019811316</c:v>
                </c:pt>
                <c:pt idx="496">
                  <c:v>0.63909697400592513</c:v>
                </c:pt>
                <c:pt idx="497">
                  <c:v>0.60781973946339873</c:v>
                </c:pt>
                <c:pt idx="498">
                  <c:v>0.57612627611480016</c:v>
                </c:pt>
                <c:pt idx="499">
                  <c:v>0.53973940308666546</c:v>
                </c:pt>
                <c:pt idx="500">
                  <c:v>0.50459598065778399</c:v>
                </c:pt>
                <c:pt idx="501">
                  <c:v>0.4654409702187336</c:v>
                </c:pt>
                <c:pt idx="502">
                  <c:v>0.43134659976949657</c:v>
                </c:pt>
                <c:pt idx="503">
                  <c:v>0.42690955700104</c:v>
                </c:pt>
                <c:pt idx="504">
                  <c:v>0.77145643900915783</c:v>
                </c:pt>
                <c:pt idx="505">
                  <c:v>0.77145643900915783</c:v>
                </c:pt>
                <c:pt idx="506">
                  <c:v>0.77068498257014872</c:v>
                </c:pt>
                <c:pt idx="507">
                  <c:v>0.77067300983892906</c:v>
                </c:pt>
                <c:pt idx="508">
                  <c:v>0.76448695437332481</c:v>
                </c:pt>
                <c:pt idx="509">
                  <c:v>0.7462179928210797</c:v>
                </c:pt>
                <c:pt idx="510">
                  <c:v>0.73027266839631366</c:v>
                </c:pt>
                <c:pt idx="511">
                  <c:v>0.7101552774493437</c:v>
                </c:pt>
                <c:pt idx="512">
                  <c:v>0.69122254011085482</c:v>
                </c:pt>
                <c:pt idx="513">
                  <c:v>0.66499411019811316</c:v>
                </c:pt>
                <c:pt idx="514">
                  <c:v>0.63909697400592513</c:v>
                </c:pt>
                <c:pt idx="515">
                  <c:v>0.60781973946339873</c:v>
                </c:pt>
                <c:pt idx="516">
                  <c:v>0.57612627611480016</c:v>
                </c:pt>
                <c:pt idx="517">
                  <c:v>0.53973940308666546</c:v>
                </c:pt>
                <c:pt idx="518">
                  <c:v>0.50459598065778399</c:v>
                </c:pt>
                <c:pt idx="519">
                  <c:v>0.4654409702187336</c:v>
                </c:pt>
                <c:pt idx="520">
                  <c:v>0.43134659976949657</c:v>
                </c:pt>
                <c:pt idx="521">
                  <c:v>0.42690955700104</c:v>
                </c:pt>
                <c:pt idx="522">
                  <c:v>0.77145643900915783</c:v>
                </c:pt>
                <c:pt idx="523">
                  <c:v>0.77145643900915783</c:v>
                </c:pt>
                <c:pt idx="524">
                  <c:v>0.77068498257014872</c:v>
                </c:pt>
                <c:pt idx="525">
                  <c:v>0.77067300983892906</c:v>
                </c:pt>
                <c:pt idx="526">
                  <c:v>0.76448695437332481</c:v>
                </c:pt>
                <c:pt idx="527">
                  <c:v>0.7462179928210797</c:v>
                </c:pt>
                <c:pt idx="528">
                  <c:v>0.73027266839631366</c:v>
                </c:pt>
                <c:pt idx="529">
                  <c:v>0.7101552774493437</c:v>
                </c:pt>
                <c:pt idx="530">
                  <c:v>0.69122254011085482</c:v>
                </c:pt>
                <c:pt idx="531">
                  <c:v>0.66499411019811316</c:v>
                </c:pt>
                <c:pt idx="532">
                  <c:v>0.63909697400592513</c:v>
                </c:pt>
                <c:pt idx="533">
                  <c:v>0.60781973946339873</c:v>
                </c:pt>
                <c:pt idx="534">
                  <c:v>0.57612627611480016</c:v>
                </c:pt>
                <c:pt idx="535">
                  <c:v>0.53973940308666546</c:v>
                </c:pt>
                <c:pt idx="536">
                  <c:v>0.50459598065778399</c:v>
                </c:pt>
                <c:pt idx="537">
                  <c:v>0.4654409702187336</c:v>
                </c:pt>
                <c:pt idx="538">
                  <c:v>0.43134659976949657</c:v>
                </c:pt>
                <c:pt idx="539">
                  <c:v>0.42690955700104</c:v>
                </c:pt>
                <c:pt idx="540">
                  <c:v>0.77145643900915783</c:v>
                </c:pt>
                <c:pt idx="541">
                  <c:v>0.77145643900915783</c:v>
                </c:pt>
                <c:pt idx="542">
                  <c:v>0.77068498257014872</c:v>
                </c:pt>
                <c:pt idx="543">
                  <c:v>0.77067300983892906</c:v>
                </c:pt>
                <c:pt idx="544">
                  <c:v>0.76448695437332481</c:v>
                </c:pt>
                <c:pt idx="545">
                  <c:v>0.7462179928210797</c:v>
                </c:pt>
                <c:pt idx="546">
                  <c:v>0.73027266839631366</c:v>
                </c:pt>
                <c:pt idx="547">
                  <c:v>0.7101552774493437</c:v>
                </c:pt>
                <c:pt idx="548">
                  <c:v>0.69122254011085482</c:v>
                </c:pt>
                <c:pt idx="549">
                  <c:v>0.66499411019811316</c:v>
                </c:pt>
                <c:pt idx="550">
                  <c:v>0.63909697400592513</c:v>
                </c:pt>
                <c:pt idx="551">
                  <c:v>0.60781973946339873</c:v>
                </c:pt>
                <c:pt idx="552">
                  <c:v>0.57612627611480016</c:v>
                </c:pt>
                <c:pt idx="553">
                  <c:v>0.53973940308666546</c:v>
                </c:pt>
                <c:pt idx="554">
                  <c:v>0.50459598065778399</c:v>
                </c:pt>
                <c:pt idx="555">
                  <c:v>0.4654409702187336</c:v>
                </c:pt>
                <c:pt idx="556">
                  <c:v>0.43134659976949657</c:v>
                </c:pt>
                <c:pt idx="557">
                  <c:v>0.42690955700104</c:v>
                </c:pt>
                <c:pt idx="558">
                  <c:v>0.77145643900915783</c:v>
                </c:pt>
                <c:pt idx="559">
                  <c:v>0.77145643900915783</c:v>
                </c:pt>
                <c:pt idx="560">
                  <c:v>0.77068498257014872</c:v>
                </c:pt>
                <c:pt idx="561">
                  <c:v>0.77067300983892906</c:v>
                </c:pt>
                <c:pt idx="562">
                  <c:v>0.76448695437332481</c:v>
                </c:pt>
                <c:pt idx="563">
                  <c:v>0.7462179928210797</c:v>
                </c:pt>
                <c:pt idx="564">
                  <c:v>0.73027266839631366</c:v>
                </c:pt>
                <c:pt idx="565">
                  <c:v>0.7101552774493437</c:v>
                </c:pt>
                <c:pt idx="566">
                  <c:v>0.69122254011085482</c:v>
                </c:pt>
                <c:pt idx="567">
                  <c:v>0.66499411019811316</c:v>
                </c:pt>
                <c:pt idx="568">
                  <c:v>0.63909697400592513</c:v>
                </c:pt>
                <c:pt idx="569">
                  <c:v>0.60781973946339873</c:v>
                </c:pt>
                <c:pt idx="570">
                  <c:v>0.57612627611480016</c:v>
                </c:pt>
                <c:pt idx="571">
                  <c:v>0.53973940308666546</c:v>
                </c:pt>
                <c:pt idx="572">
                  <c:v>0.50459598065778399</c:v>
                </c:pt>
                <c:pt idx="573">
                  <c:v>0.4654409702187336</c:v>
                </c:pt>
                <c:pt idx="574">
                  <c:v>0.43134659976949657</c:v>
                </c:pt>
                <c:pt idx="575">
                  <c:v>0.42690955700104</c:v>
                </c:pt>
                <c:pt idx="576">
                  <c:v>0.77145643900915783</c:v>
                </c:pt>
                <c:pt idx="577">
                  <c:v>0.77145643900915783</c:v>
                </c:pt>
                <c:pt idx="578">
                  <c:v>0.77068498257014872</c:v>
                </c:pt>
                <c:pt idx="579">
                  <c:v>0.77067300983892906</c:v>
                </c:pt>
                <c:pt idx="580">
                  <c:v>0.76448695437332481</c:v>
                </c:pt>
                <c:pt idx="581">
                  <c:v>0.7462179928210797</c:v>
                </c:pt>
                <c:pt idx="582">
                  <c:v>0.73027266839631366</c:v>
                </c:pt>
                <c:pt idx="583">
                  <c:v>0.7101552774493437</c:v>
                </c:pt>
                <c:pt idx="584">
                  <c:v>0.69122254011085482</c:v>
                </c:pt>
                <c:pt idx="585">
                  <c:v>0.66499411019811316</c:v>
                </c:pt>
                <c:pt idx="586">
                  <c:v>0.63909697400592513</c:v>
                </c:pt>
                <c:pt idx="587">
                  <c:v>0.60781973946339873</c:v>
                </c:pt>
                <c:pt idx="588">
                  <c:v>0.57612627611480016</c:v>
                </c:pt>
                <c:pt idx="589">
                  <c:v>0.53973940308666546</c:v>
                </c:pt>
                <c:pt idx="590">
                  <c:v>0.50459598065778399</c:v>
                </c:pt>
                <c:pt idx="591">
                  <c:v>0.4654409702187336</c:v>
                </c:pt>
                <c:pt idx="592">
                  <c:v>0.43134659976949657</c:v>
                </c:pt>
                <c:pt idx="593">
                  <c:v>0.42690955700104</c:v>
                </c:pt>
                <c:pt idx="594">
                  <c:v>0.77145643900915783</c:v>
                </c:pt>
                <c:pt idx="595">
                  <c:v>0.77145643900915783</c:v>
                </c:pt>
                <c:pt idx="596">
                  <c:v>0.77068498257014872</c:v>
                </c:pt>
                <c:pt idx="597">
                  <c:v>0.77067300983892906</c:v>
                </c:pt>
                <c:pt idx="598">
                  <c:v>0.76448695437332481</c:v>
                </c:pt>
                <c:pt idx="599">
                  <c:v>0.7462179928210797</c:v>
                </c:pt>
                <c:pt idx="600">
                  <c:v>0.73027266839631366</c:v>
                </c:pt>
                <c:pt idx="601">
                  <c:v>0.7101552774493437</c:v>
                </c:pt>
                <c:pt idx="602">
                  <c:v>0.69122254011085482</c:v>
                </c:pt>
                <c:pt idx="603">
                  <c:v>0.66499411019811316</c:v>
                </c:pt>
                <c:pt idx="604">
                  <c:v>0.63909697400592513</c:v>
                </c:pt>
                <c:pt idx="605">
                  <c:v>0.60781973946339873</c:v>
                </c:pt>
                <c:pt idx="606">
                  <c:v>0.57612627611480016</c:v>
                </c:pt>
                <c:pt idx="607">
                  <c:v>0.53973940308666546</c:v>
                </c:pt>
                <c:pt idx="608">
                  <c:v>0.50459598065778399</c:v>
                </c:pt>
                <c:pt idx="609">
                  <c:v>0.4654409702187336</c:v>
                </c:pt>
                <c:pt idx="610">
                  <c:v>0.43134659976949657</c:v>
                </c:pt>
                <c:pt idx="611">
                  <c:v>0.42690955700104</c:v>
                </c:pt>
                <c:pt idx="612">
                  <c:v>0.77145643900915783</c:v>
                </c:pt>
                <c:pt idx="613">
                  <c:v>0.77145643900915783</c:v>
                </c:pt>
                <c:pt idx="614">
                  <c:v>0.77068498257014872</c:v>
                </c:pt>
                <c:pt idx="615">
                  <c:v>0.77067300983892906</c:v>
                </c:pt>
                <c:pt idx="616">
                  <c:v>0.76448695437332481</c:v>
                </c:pt>
                <c:pt idx="617">
                  <c:v>0.7462179928210797</c:v>
                </c:pt>
                <c:pt idx="618">
                  <c:v>0.73027266839631366</c:v>
                </c:pt>
                <c:pt idx="619">
                  <c:v>0.7101552774493437</c:v>
                </c:pt>
                <c:pt idx="620">
                  <c:v>0.69122254011085482</c:v>
                </c:pt>
                <c:pt idx="621">
                  <c:v>0.66499411019811316</c:v>
                </c:pt>
                <c:pt idx="622">
                  <c:v>0.63909697400592513</c:v>
                </c:pt>
                <c:pt idx="623">
                  <c:v>0.60781973946339873</c:v>
                </c:pt>
                <c:pt idx="624">
                  <c:v>0.57612627611480016</c:v>
                </c:pt>
                <c:pt idx="625">
                  <c:v>0.53973940308666546</c:v>
                </c:pt>
                <c:pt idx="626">
                  <c:v>0.50459598065778399</c:v>
                </c:pt>
                <c:pt idx="627">
                  <c:v>0.4654409702187336</c:v>
                </c:pt>
                <c:pt idx="628">
                  <c:v>0.43134659976949657</c:v>
                </c:pt>
                <c:pt idx="629">
                  <c:v>0.42690955700104</c:v>
                </c:pt>
                <c:pt idx="630">
                  <c:v>0.77145643900915783</c:v>
                </c:pt>
                <c:pt idx="631">
                  <c:v>0.77145643900915783</c:v>
                </c:pt>
                <c:pt idx="632">
                  <c:v>0.77068498257014872</c:v>
                </c:pt>
                <c:pt idx="633">
                  <c:v>0.77067300983892906</c:v>
                </c:pt>
                <c:pt idx="634">
                  <c:v>0.76448695437332481</c:v>
                </c:pt>
                <c:pt idx="635">
                  <c:v>0.7462179928210797</c:v>
                </c:pt>
                <c:pt idx="636">
                  <c:v>0.73027266839631366</c:v>
                </c:pt>
                <c:pt idx="637">
                  <c:v>0.7101552774493437</c:v>
                </c:pt>
                <c:pt idx="638">
                  <c:v>0.69122254011085482</c:v>
                </c:pt>
                <c:pt idx="639">
                  <c:v>0.66499411019811316</c:v>
                </c:pt>
                <c:pt idx="640">
                  <c:v>0.63909697400592513</c:v>
                </c:pt>
                <c:pt idx="641">
                  <c:v>0.60781973946339873</c:v>
                </c:pt>
                <c:pt idx="642">
                  <c:v>0.57612627611480016</c:v>
                </c:pt>
                <c:pt idx="643">
                  <c:v>0.53973940308666546</c:v>
                </c:pt>
                <c:pt idx="644">
                  <c:v>0.50459598065778399</c:v>
                </c:pt>
                <c:pt idx="645">
                  <c:v>0.4654409702187336</c:v>
                </c:pt>
                <c:pt idx="646">
                  <c:v>0.43134659976949657</c:v>
                </c:pt>
                <c:pt idx="647">
                  <c:v>0.42690955700104</c:v>
                </c:pt>
                <c:pt idx="648">
                  <c:v>0.77145643900915783</c:v>
                </c:pt>
                <c:pt idx="649">
                  <c:v>0.77145643900915783</c:v>
                </c:pt>
                <c:pt idx="650">
                  <c:v>0.77068498257014872</c:v>
                </c:pt>
                <c:pt idx="651">
                  <c:v>0.77067300983892906</c:v>
                </c:pt>
                <c:pt idx="652">
                  <c:v>0.76448695437332481</c:v>
                </c:pt>
                <c:pt idx="653">
                  <c:v>0.7462179928210797</c:v>
                </c:pt>
                <c:pt idx="654">
                  <c:v>0.73027266839631366</c:v>
                </c:pt>
                <c:pt idx="655">
                  <c:v>0.7101552774493437</c:v>
                </c:pt>
                <c:pt idx="656">
                  <c:v>0.69122254011085482</c:v>
                </c:pt>
                <c:pt idx="657">
                  <c:v>0.66499411019811316</c:v>
                </c:pt>
                <c:pt idx="658">
                  <c:v>0.63909697400592513</c:v>
                </c:pt>
                <c:pt idx="659">
                  <c:v>0.60781973946339873</c:v>
                </c:pt>
                <c:pt idx="660">
                  <c:v>0.57612627611480016</c:v>
                </c:pt>
                <c:pt idx="661">
                  <c:v>0.53973940308666546</c:v>
                </c:pt>
                <c:pt idx="662">
                  <c:v>0.50459598065778399</c:v>
                </c:pt>
                <c:pt idx="663">
                  <c:v>0.4654409702187336</c:v>
                </c:pt>
                <c:pt idx="664">
                  <c:v>0.43134659976949657</c:v>
                </c:pt>
                <c:pt idx="665">
                  <c:v>0.42690955700104</c:v>
                </c:pt>
                <c:pt idx="666">
                  <c:v>0.77145643900915783</c:v>
                </c:pt>
                <c:pt idx="667">
                  <c:v>0.77145643900915783</c:v>
                </c:pt>
                <c:pt idx="668">
                  <c:v>0.77068498257014872</c:v>
                </c:pt>
                <c:pt idx="669">
                  <c:v>0.77067300983892906</c:v>
                </c:pt>
                <c:pt idx="670">
                  <c:v>0.76448695437332481</c:v>
                </c:pt>
                <c:pt idx="671">
                  <c:v>0.7462179928210797</c:v>
                </c:pt>
                <c:pt idx="672">
                  <c:v>0.73027266839631366</c:v>
                </c:pt>
                <c:pt idx="673">
                  <c:v>0.7101552774493437</c:v>
                </c:pt>
                <c:pt idx="674">
                  <c:v>0.69122254011085482</c:v>
                </c:pt>
                <c:pt idx="675">
                  <c:v>0.66499411019811316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8-49A0-B5AA-7F468E5E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015632"/>
        <c:axId val="722016192"/>
      </c:scatterChart>
      <c:valAx>
        <c:axId val="722015632"/>
        <c:scaling>
          <c:orientation val="minMax"/>
          <c:max val="3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16192"/>
        <c:crosses val="autoZero"/>
        <c:crossBetween val="midCat"/>
        <c:majorUnit val="8"/>
      </c:valAx>
      <c:valAx>
        <c:axId val="72201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11796442111402"/>
          <c:y val="4.1666666666666664E-2"/>
          <c:w val="0.85390602216389622"/>
          <c:h val="0.86192093175853013"/>
        </c:manualLayout>
      </c:layou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V_SG_3_V_SL_1!$AA$56:$AA$270</c:f>
              <c:numCache>
                <c:formatCode>General</c:formatCode>
                <c:ptCount val="215"/>
                <c:pt idx="0">
                  <c:v>30.105662832572818</c:v>
                </c:pt>
                <c:pt idx="1">
                  <c:v>28.962662832572818</c:v>
                </c:pt>
                <c:pt idx="2">
                  <c:v>28.962662832572818</c:v>
                </c:pt>
                <c:pt idx="3">
                  <c:v>28.96266183257282</c:v>
                </c:pt>
                <c:pt idx="4">
                  <c:v>28.962660832572819</c:v>
                </c:pt>
                <c:pt idx="5">
                  <c:v>28.962659832572818</c:v>
                </c:pt>
                <c:pt idx="6">
                  <c:v>28.962658832572817</c:v>
                </c:pt>
                <c:pt idx="7">
                  <c:v>28.962657697490343</c:v>
                </c:pt>
                <c:pt idx="8">
                  <c:v>28.962656443312625</c:v>
                </c:pt>
                <c:pt idx="9">
                  <c:v>28.962655118367895</c:v>
                </c:pt>
                <c:pt idx="10">
                  <c:v>28.962653620870714</c:v>
                </c:pt>
                <c:pt idx="11">
                  <c:v>28.962651906697484</c:v>
                </c:pt>
                <c:pt idx="12">
                  <c:v>28.96264992161565</c:v>
                </c:pt>
                <c:pt idx="13">
                  <c:v>28.962647604236409</c:v>
                </c:pt>
                <c:pt idx="14">
                  <c:v>28.962644880654089</c:v>
                </c:pt>
                <c:pt idx="15">
                  <c:v>28.962641660504772</c:v>
                </c:pt>
                <c:pt idx="16">
                  <c:v>28.962637832020675</c:v>
                </c:pt>
                <c:pt idx="17">
                  <c:v>28.962633255842611</c:v>
                </c:pt>
                <c:pt idx="18">
                  <c:v>28.962627757017291</c:v>
                </c:pt>
                <c:pt idx="19">
                  <c:v>28.962621114510295</c:v>
                </c:pt>
                <c:pt idx="20">
                  <c:v>28.962613047326105</c:v>
                </c:pt>
                <c:pt idx="21">
                  <c:v>28.96260319598235</c:v>
                </c:pt>
                <c:pt idx="22">
                  <c:v>28.962591097584077</c:v>
                </c:pt>
                <c:pt idx="23">
                  <c:v>28.962576152014094</c:v>
                </c:pt>
                <c:pt idx="24">
                  <c:v>28.962557575686731</c:v>
                </c:pt>
                <c:pt idx="25">
                  <c:v>28.962534337730993</c:v>
                </c:pt>
                <c:pt idx="26">
                  <c:v>28.962505071104424</c:v>
                </c:pt>
                <c:pt idx="27">
                  <c:v>28.962467947561883</c:v>
                </c:pt>
                <c:pt idx="28">
                  <c:v>28.962420499924075</c:v>
                </c:pt>
                <c:pt idx="29">
                  <c:v>28.962359366584753</c:v>
                </c:pt>
                <c:pt idx="30">
                  <c:v>28.962315888941284</c:v>
                </c:pt>
                <c:pt idx="31">
                  <c:v>28.962213679333601</c:v>
                </c:pt>
                <c:pt idx="32">
                  <c:v>28.962104620526212</c:v>
                </c:pt>
                <c:pt idx="33">
                  <c:v>28.961937796946668</c:v>
                </c:pt>
                <c:pt idx="34">
                  <c:v>28.961719551963977</c:v>
                </c:pt>
                <c:pt idx="35">
                  <c:v>28.961419657922491</c:v>
                </c:pt>
                <c:pt idx="36">
                  <c:v>28.961005912359902</c:v>
                </c:pt>
                <c:pt idx="37">
                  <c:v>28.960425374623302</c:v>
                </c:pt>
                <c:pt idx="38">
                  <c:v>28.959598390455589</c:v>
                </c:pt>
                <c:pt idx="39">
                  <c:v>28.958399471576616</c:v>
                </c:pt>
                <c:pt idx="40">
                  <c:v>28.95662823053425</c:v>
                </c:pt>
                <c:pt idx="41">
                  <c:v>28.953957105099938</c:v>
                </c:pt>
                <c:pt idx="42">
                  <c:v>28.949839994721319</c:v>
                </c:pt>
                <c:pt idx="43">
                  <c:v>24.084530266058255</c:v>
                </c:pt>
                <c:pt idx="44">
                  <c:v>22.941530266058255</c:v>
                </c:pt>
                <c:pt idx="45">
                  <c:v>22.941530266058255</c:v>
                </c:pt>
                <c:pt idx="46">
                  <c:v>22.941529266058257</c:v>
                </c:pt>
                <c:pt idx="47">
                  <c:v>22.941528266058256</c:v>
                </c:pt>
                <c:pt idx="48">
                  <c:v>22.941527266058255</c:v>
                </c:pt>
                <c:pt idx="49">
                  <c:v>22.941526266058254</c:v>
                </c:pt>
                <c:pt idx="50">
                  <c:v>22.94152513097578</c:v>
                </c:pt>
                <c:pt idx="51">
                  <c:v>22.941523876798062</c:v>
                </c:pt>
                <c:pt idx="52">
                  <c:v>22.941522551853332</c:v>
                </c:pt>
                <c:pt idx="53">
                  <c:v>22.941521054356151</c:v>
                </c:pt>
                <c:pt idx="54">
                  <c:v>22.941519340182921</c:v>
                </c:pt>
                <c:pt idx="55">
                  <c:v>22.941517355101087</c:v>
                </c:pt>
                <c:pt idx="56">
                  <c:v>22.941515037721846</c:v>
                </c:pt>
                <c:pt idx="57">
                  <c:v>22.941512314139526</c:v>
                </c:pt>
                <c:pt idx="58">
                  <c:v>22.941509093990209</c:v>
                </c:pt>
                <c:pt idx="59">
                  <c:v>22.941505265506109</c:v>
                </c:pt>
                <c:pt idx="60">
                  <c:v>22.941500689328048</c:v>
                </c:pt>
                <c:pt idx="61">
                  <c:v>22.941495190502728</c:v>
                </c:pt>
                <c:pt idx="62">
                  <c:v>22.941488547995732</c:v>
                </c:pt>
                <c:pt idx="63">
                  <c:v>22.941480480811542</c:v>
                </c:pt>
                <c:pt idx="64">
                  <c:v>22.941470629467787</c:v>
                </c:pt>
                <c:pt idx="65">
                  <c:v>22.941458531069514</c:v>
                </c:pt>
                <c:pt idx="66">
                  <c:v>22.941443585499531</c:v>
                </c:pt>
                <c:pt idx="67">
                  <c:v>22.941425009172168</c:v>
                </c:pt>
                <c:pt idx="68">
                  <c:v>22.94140177121643</c:v>
                </c:pt>
                <c:pt idx="69">
                  <c:v>22.941372504589861</c:v>
                </c:pt>
                <c:pt idx="70">
                  <c:v>22.94133538104732</c:v>
                </c:pt>
                <c:pt idx="71">
                  <c:v>22.941287933409512</c:v>
                </c:pt>
                <c:pt idx="72">
                  <c:v>22.94122680007019</c:v>
                </c:pt>
                <c:pt idx="73">
                  <c:v>22.941183322426724</c:v>
                </c:pt>
                <c:pt idx="74">
                  <c:v>22.941081112819038</c:v>
                </c:pt>
                <c:pt idx="75">
                  <c:v>22.940972054011649</c:v>
                </c:pt>
                <c:pt idx="76">
                  <c:v>22.940805230432105</c:v>
                </c:pt>
                <c:pt idx="77">
                  <c:v>22.940586985449414</c:v>
                </c:pt>
                <c:pt idx="78">
                  <c:v>22.940287091407932</c:v>
                </c:pt>
                <c:pt idx="79">
                  <c:v>22.939873345845335</c:v>
                </c:pt>
                <c:pt idx="80">
                  <c:v>22.939292808108739</c:v>
                </c:pt>
                <c:pt idx="81">
                  <c:v>22.938465823941026</c:v>
                </c:pt>
                <c:pt idx="82">
                  <c:v>22.937266905062053</c:v>
                </c:pt>
                <c:pt idx="83">
                  <c:v>22.935495664019687</c:v>
                </c:pt>
                <c:pt idx="84">
                  <c:v>22.932824538585379</c:v>
                </c:pt>
                <c:pt idx="85">
                  <c:v>22.928707428206756</c:v>
                </c:pt>
                <c:pt idx="86">
                  <c:v>18.063397699543692</c:v>
                </c:pt>
                <c:pt idx="87">
                  <c:v>16.920397699543692</c:v>
                </c:pt>
                <c:pt idx="88">
                  <c:v>16.920397699543692</c:v>
                </c:pt>
                <c:pt idx="89">
                  <c:v>16.920396699543694</c:v>
                </c:pt>
                <c:pt idx="90">
                  <c:v>16.920395699543693</c:v>
                </c:pt>
                <c:pt idx="91">
                  <c:v>16.920394699543692</c:v>
                </c:pt>
                <c:pt idx="92">
                  <c:v>16.920393699543691</c:v>
                </c:pt>
                <c:pt idx="93">
                  <c:v>16.920392564461217</c:v>
                </c:pt>
                <c:pt idx="94">
                  <c:v>16.920391310283499</c:v>
                </c:pt>
                <c:pt idx="95">
                  <c:v>16.920389985338769</c:v>
                </c:pt>
                <c:pt idx="96">
                  <c:v>16.920388487841588</c:v>
                </c:pt>
                <c:pt idx="97">
                  <c:v>16.920386773668358</c:v>
                </c:pt>
                <c:pt idx="98">
                  <c:v>16.920384788586524</c:v>
                </c:pt>
                <c:pt idx="99">
                  <c:v>16.920382471207283</c:v>
                </c:pt>
                <c:pt idx="100">
                  <c:v>16.920379747624963</c:v>
                </c:pt>
                <c:pt idx="101">
                  <c:v>16.920376527475646</c:v>
                </c:pt>
                <c:pt idx="102">
                  <c:v>16.920372698991549</c:v>
                </c:pt>
                <c:pt idx="103">
                  <c:v>16.920368122813485</c:v>
                </c:pt>
                <c:pt idx="104">
                  <c:v>16.920362623988165</c:v>
                </c:pt>
                <c:pt idx="105">
                  <c:v>16.920355981481169</c:v>
                </c:pt>
                <c:pt idx="106">
                  <c:v>16.920347914296979</c:v>
                </c:pt>
                <c:pt idx="107">
                  <c:v>16.920338062953224</c:v>
                </c:pt>
                <c:pt idx="108">
                  <c:v>16.920325964554952</c:v>
                </c:pt>
                <c:pt idx="109">
                  <c:v>16.920311018984968</c:v>
                </c:pt>
                <c:pt idx="110">
                  <c:v>16.920292442657605</c:v>
                </c:pt>
                <c:pt idx="111">
                  <c:v>16.920269204701867</c:v>
                </c:pt>
                <c:pt idx="112">
                  <c:v>16.920239938075298</c:v>
                </c:pt>
                <c:pt idx="113">
                  <c:v>16.920202814532757</c:v>
                </c:pt>
                <c:pt idx="114">
                  <c:v>16.920155366894949</c:v>
                </c:pt>
                <c:pt idx="115">
                  <c:v>16.920094233555627</c:v>
                </c:pt>
                <c:pt idx="116">
                  <c:v>16.920050755912158</c:v>
                </c:pt>
                <c:pt idx="117">
                  <c:v>16.919948546304475</c:v>
                </c:pt>
                <c:pt idx="118">
                  <c:v>16.919839487497086</c:v>
                </c:pt>
                <c:pt idx="119">
                  <c:v>16.919672663917542</c:v>
                </c:pt>
                <c:pt idx="120">
                  <c:v>16.919454418934851</c:v>
                </c:pt>
                <c:pt idx="121">
                  <c:v>16.919154524893365</c:v>
                </c:pt>
                <c:pt idx="122">
                  <c:v>16.918740779330776</c:v>
                </c:pt>
                <c:pt idx="123">
                  <c:v>16.918160241594176</c:v>
                </c:pt>
                <c:pt idx="124">
                  <c:v>16.917333257426463</c:v>
                </c:pt>
                <c:pt idx="125">
                  <c:v>16.91613433854749</c:v>
                </c:pt>
                <c:pt idx="126">
                  <c:v>16.914363097505124</c:v>
                </c:pt>
                <c:pt idx="127">
                  <c:v>16.911691972070813</c:v>
                </c:pt>
                <c:pt idx="128">
                  <c:v>16.907574861692193</c:v>
                </c:pt>
                <c:pt idx="129">
                  <c:v>12.042265133029128</c:v>
                </c:pt>
                <c:pt idx="130">
                  <c:v>10.899265133029129</c:v>
                </c:pt>
                <c:pt idx="131">
                  <c:v>10.899265133029129</c:v>
                </c:pt>
                <c:pt idx="132">
                  <c:v>10.899264133029128</c:v>
                </c:pt>
                <c:pt idx="133">
                  <c:v>10.899263133029129</c:v>
                </c:pt>
                <c:pt idx="134">
                  <c:v>10.899262133029127</c:v>
                </c:pt>
                <c:pt idx="135">
                  <c:v>10.899261133029128</c:v>
                </c:pt>
                <c:pt idx="136">
                  <c:v>10.899259997946652</c:v>
                </c:pt>
                <c:pt idx="137">
                  <c:v>10.899258743768934</c:v>
                </c:pt>
                <c:pt idx="138">
                  <c:v>10.899257418824202</c:v>
                </c:pt>
                <c:pt idx="139">
                  <c:v>10.899255921327024</c:v>
                </c:pt>
                <c:pt idx="140">
                  <c:v>10.899254207153795</c:v>
                </c:pt>
                <c:pt idx="141">
                  <c:v>10.899252222071958</c:v>
                </c:pt>
                <c:pt idx="142">
                  <c:v>10.899249904692716</c:v>
                </c:pt>
                <c:pt idx="143">
                  <c:v>10.899247181110399</c:v>
                </c:pt>
                <c:pt idx="144">
                  <c:v>10.899243960961082</c:v>
                </c:pt>
                <c:pt idx="145">
                  <c:v>10.899240132476983</c:v>
                </c:pt>
                <c:pt idx="146">
                  <c:v>10.899235556298921</c:v>
                </c:pt>
                <c:pt idx="147">
                  <c:v>10.8992300574736</c:v>
                </c:pt>
                <c:pt idx="148">
                  <c:v>10.899223414966606</c:v>
                </c:pt>
                <c:pt idx="149">
                  <c:v>10.899215347782413</c:v>
                </c:pt>
                <c:pt idx="150">
                  <c:v>10.899205496438659</c:v>
                </c:pt>
                <c:pt idx="151">
                  <c:v>10.899193398040387</c:v>
                </c:pt>
                <c:pt idx="152">
                  <c:v>10.899178452470402</c:v>
                </c:pt>
                <c:pt idx="153">
                  <c:v>10.89915987614304</c:v>
                </c:pt>
                <c:pt idx="154">
                  <c:v>10.899136638187302</c:v>
                </c:pt>
                <c:pt idx="155">
                  <c:v>10.899107371560731</c:v>
                </c:pt>
                <c:pt idx="156">
                  <c:v>10.899070248018194</c:v>
                </c:pt>
                <c:pt idx="157">
                  <c:v>10.899022800380385</c:v>
                </c:pt>
                <c:pt idx="158">
                  <c:v>10.898961667041061</c:v>
                </c:pt>
                <c:pt idx="159">
                  <c:v>10.898918189397595</c:v>
                </c:pt>
                <c:pt idx="160">
                  <c:v>10.898815979789912</c:v>
                </c:pt>
                <c:pt idx="161">
                  <c:v>10.898706920982523</c:v>
                </c:pt>
                <c:pt idx="162">
                  <c:v>10.898540097402977</c:v>
                </c:pt>
                <c:pt idx="163">
                  <c:v>10.898321852420287</c:v>
                </c:pt>
                <c:pt idx="164">
                  <c:v>10.898021958378802</c:v>
                </c:pt>
                <c:pt idx="165">
                  <c:v>10.897608212816209</c:v>
                </c:pt>
                <c:pt idx="166">
                  <c:v>10.89702767507961</c:v>
                </c:pt>
                <c:pt idx="167">
                  <c:v>10.896200690911899</c:v>
                </c:pt>
                <c:pt idx="168">
                  <c:v>10.895001772032927</c:v>
                </c:pt>
                <c:pt idx="169">
                  <c:v>10.893230530990559</c:v>
                </c:pt>
                <c:pt idx="170">
                  <c:v>10.89055940555625</c:v>
                </c:pt>
                <c:pt idx="171">
                  <c:v>10.886442295177631</c:v>
                </c:pt>
                <c:pt idx="172">
                  <c:v>6.0211325665145639</c:v>
                </c:pt>
                <c:pt idx="173">
                  <c:v>4.8781325665145641</c:v>
                </c:pt>
                <c:pt idx="174">
                  <c:v>4.8781325665145641</c:v>
                </c:pt>
                <c:pt idx="175">
                  <c:v>4.8781315665145639</c:v>
                </c:pt>
                <c:pt idx="176">
                  <c:v>4.8781305665145638</c:v>
                </c:pt>
                <c:pt idx="177">
                  <c:v>4.8781295665145645</c:v>
                </c:pt>
                <c:pt idx="178">
                  <c:v>4.8781285665145644</c:v>
                </c:pt>
                <c:pt idx="179">
                  <c:v>4.8781274314320884</c:v>
                </c:pt>
                <c:pt idx="180">
                  <c:v>4.8781261772543711</c:v>
                </c:pt>
                <c:pt idx="181">
                  <c:v>4.8781248523096394</c:v>
                </c:pt>
                <c:pt idx="182">
                  <c:v>4.878123354812459</c:v>
                </c:pt>
                <c:pt idx="183">
                  <c:v>4.8781216406392307</c:v>
                </c:pt>
                <c:pt idx="184">
                  <c:v>4.8781196555573949</c:v>
                </c:pt>
                <c:pt idx="185">
                  <c:v>4.8781173381781526</c:v>
                </c:pt>
                <c:pt idx="186">
                  <c:v>4.8781146145958356</c:v>
                </c:pt>
                <c:pt idx="187">
                  <c:v>4.8781113944465178</c:v>
                </c:pt>
                <c:pt idx="188">
                  <c:v>4.8781075659624191</c:v>
                </c:pt>
                <c:pt idx="189">
                  <c:v>4.8781029897843577</c:v>
                </c:pt>
                <c:pt idx="190">
                  <c:v>4.8780974909590373</c:v>
                </c:pt>
                <c:pt idx="191">
                  <c:v>4.8780908484520422</c:v>
                </c:pt>
                <c:pt idx="192">
                  <c:v>4.8780827812678487</c:v>
                </c:pt>
                <c:pt idx="193">
                  <c:v>4.8780729299240946</c:v>
                </c:pt>
                <c:pt idx="194">
                  <c:v>4.8780608315258238</c:v>
                </c:pt>
                <c:pt idx="195">
                  <c:v>4.8780458859558387</c:v>
                </c:pt>
                <c:pt idx="196">
                  <c:v>4.8780273096284761</c:v>
                </c:pt>
                <c:pt idx="197">
                  <c:v>4.8780040716727386</c:v>
                </c:pt>
                <c:pt idx="198">
                  <c:v>4.8779748050461684</c:v>
                </c:pt>
                <c:pt idx="199">
                  <c:v>4.8779376815036297</c:v>
                </c:pt>
                <c:pt idx="200">
                  <c:v>4.8778902338658217</c:v>
                </c:pt>
                <c:pt idx="201">
                  <c:v>4.8778291005264975</c:v>
                </c:pt>
                <c:pt idx="202">
                  <c:v>4.8777856228830307</c:v>
                </c:pt>
                <c:pt idx="203">
                  <c:v>4.8776834132753475</c:v>
                </c:pt>
                <c:pt idx="204">
                  <c:v>4.8775743544679582</c:v>
                </c:pt>
                <c:pt idx="205">
                  <c:v>4.8774075308884131</c:v>
                </c:pt>
                <c:pt idx="206">
                  <c:v>4.8771892859057235</c:v>
                </c:pt>
                <c:pt idx="207">
                  <c:v>4.8768893918642382</c:v>
                </c:pt>
                <c:pt idx="208">
                  <c:v>4.8764756463016452</c:v>
                </c:pt>
                <c:pt idx="209">
                  <c:v>4.8758951085650466</c:v>
                </c:pt>
                <c:pt idx="210">
                  <c:v>4.8750681243973348</c:v>
                </c:pt>
                <c:pt idx="211">
                  <c:v>4.8738692055183623</c:v>
                </c:pt>
                <c:pt idx="212">
                  <c:v>4.8720979644759952</c:v>
                </c:pt>
                <c:pt idx="213">
                  <c:v>4.8694268390416857</c:v>
                </c:pt>
                <c:pt idx="214">
                  <c:v>4.8653097286630667</c:v>
                </c:pt>
              </c:numCache>
            </c:numRef>
          </c:xVal>
          <c:yVal>
            <c:numRef>
              <c:f>V_SG_3_V_SL_1!$AB$56:$AB$270</c:f>
              <c:numCache>
                <c:formatCode>General</c:formatCode>
                <c:ptCount val="215"/>
                <c:pt idx="0">
                  <c:v>0.97285452842383113</c:v>
                </c:pt>
                <c:pt idx="1">
                  <c:v>0.97285452842383113</c:v>
                </c:pt>
                <c:pt idx="2">
                  <c:v>0.97285452842383113</c:v>
                </c:pt>
                <c:pt idx="3">
                  <c:v>0.95431555062431983</c:v>
                </c:pt>
                <c:pt idx="4">
                  <c:v>0.94526523863597467</c:v>
                </c:pt>
                <c:pt idx="5">
                  <c:v>0.93900304266325696</c:v>
                </c:pt>
                <c:pt idx="6">
                  <c:v>0.93408397023448453</c:v>
                </c:pt>
                <c:pt idx="7">
                  <c:v>0.92997640409739935</c:v>
                </c:pt>
                <c:pt idx="8">
                  <c:v>0.92642012673556284</c:v>
                </c:pt>
                <c:pt idx="9">
                  <c:v>0.92266674638686008</c:v>
                </c:pt>
                <c:pt idx="10">
                  <c:v>0.91859627482476058</c:v>
                </c:pt>
                <c:pt idx="11">
                  <c:v>0.91418936410388296</c:v>
                </c:pt>
                <c:pt idx="12">
                  <c:v>0.90940513673670975</c:v>
                </c:pt>
                <c:pt idx="13">
                  <c:v>0.90420069923335833</c:v>
                </c:pt>
                <c:pt idx="14">
                  <c:v>0.89852690215880404</c:v>
                </c:pt>
                <c:pt idx="15">
                  <c:v>0.8923280452550667</c:v>
                </c:pt>
                <c:pt idx="16">
                  <c:v>0.88554071237913856</c:v>
                </c:pt>
                <c:pt idx="17">
                  <c:v>0.8813042663320827</c:v>
                </c:pt>
                <c:pt idx="18">
                  <c:v>0.87271763611255715</c:v>
                </c:pt>
                <c:pt idx="19">
                  <c:v>0.86503915102175011</c:v>
                </c:pt>
                <c:pt idx="20">
                  <c:v>0.8552394874830842</c:v>
                </c:pt>
                <c:pt idx="21">
                  <c:v>0.84473316333568194</c:v>
                </c:pt>
                <c:pt idx="22">
                  <c:v>0.83299431723518536</c:v>
                </c:pt>
                <c:pt idx="23">
                  <c:v>0.81997680259060624</c:v>
                </c:pt>
                <c:pt idx="24">
                  <c:v>0.80547458016927453</c:v>
                </c:pt>
                <c:pt idx="25">
                  <c:v>0.7893006424971396</c:v>
                </c:pt>
                <c:pt idx="26">
                  <c:v>0.77123212562617249</c:v>
                </c:pt>
                <c:pt idx="27">
                  <c:v>0.75103257945464996</c:v>
                </c:pt>
                <c:pt idx="28">
                  <c:v>0.72845568886957368</c:v>
                </c:pt>
                <c:pt idx="29">
                  <c:v>0.70327127069389761</c:v>
                </c:pt>
                <c:pt idx="30">
                  <c:v>0.67530676092515485</c:v>
                </c:pt>
                <c:pt idx="31">
                  <c:v>0.64451521279243373</c:v>
                </c:pt>
                <c:pt idx="32">
                  <c:v>0.61105478378177158</c:v>
                </c:pt>
                <c:pt idx="33">
                  <c:v>0.57534669570155927</c:v>
                </c:pt>
                <c:pt idx="34">
                  <c:v>0.53807598563900061</c:v>
                </c:pt>
                <c:pt idx="35">
                  <c:v>0.50014041541987242</c:v>
                </c:pt>
                <c:pt idx="36">
                  <c:v>0.48980530792201532</c:v>
                </c:pt>
                <c:pt idx="37">
                  <c:v>0.47952536606680624</c:v>
                </c:pt>
                <c:pt idx="38">
                  <c:v>0.46716175694629641</c:v>
                </c:pt>
                <c:pt idx="39">
                  <c:v>0.41106422011527588</c:v>
                </c:pt>
                <c:pt idx="40">
                  <c:v>0.37818505232336652</c:v>
                </c:pt>
                <c:pt idx="41">
                  <c:v>0.32929038282229839</c:v>
                </c:pt>
                <c:pt idx="42">
                  <c:v>0.31208377348349114</c:v>
                </c:pt>
                <c:pt idx="43">
                  <c:v>0.97285452842383113</c:v>
                </c:pt>
                <c:pt idx="44">
                  <c:v>0.97285452842383113</c:v>
                </c:pt>
                <c:pt idx="45">
                  <c:v>0.97285452842383113</c:v>
                </c:pt>
                <c:pt idx="46">
                  <c:v>0.95431555062431983</c:v>
                </c:pt>
                <c:pt idx="47">
                  <c:v>0.94526523863597467</c:v>
                </c:pt>
                <c:pt idx="48">
                  <c:v>0.93900304266325696</c:v>
                </c:pt>
                <c:pt idx="49">
                  <c:v>0.93408397023448453</c:v>
                </c:pt>
                <c:pt idx="50">
                  <c:v>0.92997640409739935</c:v>
                </c:pt>
                <c:pt idx="51">
                  <c:v>0.92642012673556284</c:v>
                </c:pt>
                <c:pt idx="52">
                  <c:v>0.92266674638686008</c:v>
                </c:pt>
                <c:pt idx="53">
                  <c:v>0.91859627482476058</c:v>
                </c:pt>
                <c:pt idx="54">
                  <c:v>0.91418936410388296</c:v>
                </c:pt>
                <c:pt idx="55">
                  <c:v>0.90940513673670975</c:v>
                </c:pt>
                <c:pt idx="56">
                  <c:v>0.90420069923335833</c:v>
                </c:pt>
                <c:pt idx="57">
                  <c:v>0.89852690215880404</c:v>
                </c:pt>
                <c:pt idx="58">
                  <c:v>0.8923280452550667</c:v>
                </c:pt>
                <c:pt idx="59">
                  <c:v>0.88554071237913856</c:v>
                </c:pt>
                <c:pt idx="60">
                  <c:v>0.8813042663320827</c:v>
                </c:pt>
                <c:pt idx="61">
                  <c:v>0.87271763611255715</c:v>
                </c:pt>
                <c:pt idx="62">
                  <c:v>0.86503915102175011</c:v>
                </c:pt>
                <c:pt idx="63">
                  <c:v>0.8552394874830842</c:v>
                </c:pt>
                <c:pt idx="64">
                  <c:v>0.84473316333568194</c:v>
                </c:pt>
                <c:pt idx="65">
                  <c:v>0.83299431723518536</c:v>
                </c:pt>
                <c:pt idx="66">
                  <c:v>0.81997680259060624</c:v>
                </c:pt>
                <c:pt idx="67">
                  <c:v>0.80547458016927453</c:v>
                </c:pt>
                <c:pt idx="68">
                  <c:v>0.7893006424971396</c:v>
                </c:pt>
                <c:pt idx="69">
                  <c:v>0.77123212562617249</c:v>
                </c:pt>
                <c:pt idx="70">
                  <c:v>0.75103257945464996</c:v>
                </c:pt>
                <c:pt idx="71">
                  <c:v>0.72845568886957368</c:v>
                </c:pt>
                <c:pt idx="72">
                  <c:v>0.70327127069389761</c:v>
                </c:pt>
                <c:pt idx="73">
                  <c:v>0.67530676092515485</c:v>
                </c:pt>
                <c:pt idx="74">
                  <c:v>0.64451521279243373</c:v>
                </c:pt>
                <c:pt idx="75">
                  <c:v>0.61105478378177158</c:v>
                </c:pt>
                <c:pt idx="76">
                  <c:v>0.57534669570155927</c:v>
                </c:pt>
                <c:pt idx="77">
                  <c:v>0.53807598563900061</c:v>
                </c:pt>
                <c:pt idx="78">
                  <c:v>0.50014041541987242</c:v>
                </c:pt>
                <c:pt idx="79">
                  <c:v>0.48980530792201532</c:v>
                </c:pt>
                <c:pt idx="80">
                  <c:v>0.47952536606680624</c:v>
                </c:pt>
                <c:pt idx="81">
                  <c:v>0.46716175694629641</c:v>
                </c:pt>
                <c:pt idx="82">
                  <c:v>0.41106422011527588</c:v>
                </c:pt>
                <c:pt idx="83">
                  <c:v>0.37818505232336652</c:v>
                </c:pt>
                <c:pt idx="84">
                  <c:v>0.32929038282229839</c:v>
                </c:pt>
                <c:pt idx="85">
                  <c:v>0.31208377348349114</c:v>
                </c:pt>
                <c:pt idx="86">
                  <c:v>0.97285452842383113</c:v>
                </c:pt>
                <c:pt idx="87">
                  <c:v>0.97285452842383113</c:v>
                </c:pt>
                <c:pt idx="88">
                  <c:v>0.97285452842383113</c:v>
                </c:pt>
                <c:pt idx="89">
                  <c:v>0.95431555062431983</c:v>
                </c:pt>
                <c:pt idx="90">
                  <c:v>0.94526523863597467</c:v>
                </c:pt>
                <c:pt idx="91">
                  <c:v>0.93900304266325696</c:v>
                </c:pt>
                <c:pt idx="92">
                  <c:v>0.93408397023448453</c:v>
                </c:pt>
                <c:pt idx="93">
                  <c:v>0.92997640409739935</c:v>
                </c:pt>
                <c:pt idx="94">
                  <c:v>0.92642012673556284</c:v>
                </c:pt>
                <c:pt idx="95">
                  <c:v>0.92266674638686008</c:v>
                </c:pt>
                <c:pt idx="96">
                  <c:v>0.91859627482476058</c:v>
                </c:pt>
                <c:pt idx="97">
                  <c:v>0.91418936410388296</c:v>
                </c:pt>
                <c:pt idx="98">
                  <c:v>0.90940513673670975</c:v>
                </c:pt>
                <c:pt idx="99">
                  <c:v>0.90420069923335833</c:v>
                </c:pt>
                <c:pt idx="100">
                  <c:v>0.89852690215880404</c:v>
                </c:pt>
                <c:pt idx="101">
                  <c:v>0.8923280452550667</c:v>
                </c:pt>
                <c:pt idx="102">
                  <c:v>0.88554071237913856</c:v>
                </c:pt>
                <c:pt idx="103">
                  <c:v>0.8813042663320827</c:v>
                </c:pt>
                <c:pt idx="104">
                  <c:v>0.87271763611255715</c:v>
                </c:pt>
                <c:pt idx="105">
                  <c:v>0.86503915102175011</c:v>
                </c:pt>
                <c:pt idx="106">
                  <c:v>0.8552394874830842</c:v>
                </c:pt>
                <c:pt idx="107">
                  <c:v>0.84473316333568194</c:v>
                </c:pt>
                <c:pt idx="108">
                  <c:v>0.83299431723518536</c:v>
                </c:pt>
                <c:pt idx="109">
                  <c:v>0.81997680259060624</c:v>
                </c:pt>
                <c:pt idx="110">
                  <c:v>0.80547458016927453</c:v>
                </c:pt>
                <c:pt idx="111">
                  <c:v>0.7893006424971396</c:v>
                </c:pt>
                <c:pt idx="112">
                  <c:v>0.77123212562617249</c:v>
                </c:pt>
                <c:pt idx="113">
                  <c:v>0.75103257945464996</c:v>
                </c:pt>
                <c:pt idx="114">
                  <c:v>0.72845568886957368</c:v>
                </c:pt>
                <c:pt idx="115">
                  <c:v>0.70327127069389761</c:v>
                </c:pt>
                <c:pt idx="116">
                  <c:v>0.67530676092515485</c:v>
                </c:pt>
                <c:pt idx="117">
                  <c:v>0.64451521279243373</c:v>
                </c:pt>
                <c:pt idx="118">
                  <c:v>0.61105478378177158</c:v>
                </c:pt>
                <c:pt idx="119">
                  <c:v>0.57534669570155927</c:v>
                </c:pt>
                <c:pt idx="120">
                  <c:v>0.53807598563900061</c:v>
                </c:pt>
                <c:pt idx="121">
                  <c:v>0.50014041541987242</c:v>
                </c:pt>
                <c:pt idx="122">
                  <c:v>0.48980530792201532</c:v>
                </c:pt>
                <c:pt idx="123">
                  <c:v>0.47952536606680624</c:v>
                </c:pt>
                <c:pt idx="124">
                  <c:v>0.46716175694629641</c:v>
                </c:pt>
                <c:pt idx="125">
                  <c:v>0.41106422011527588</c:v>
                </c:pt>
                <c:pt idx="126">
                  <c:v>0.37818505232336652</c:v>
                </c:pt>
                <c:pt idx="127">
                  <c:v>0.32929038282229839</c:v>
                </c:pt>
                <c:pt idx="128">
                  <c:v>0.31208377348349114</c:v>
                </c:pt>
                <c:pt idx="129">
                  <c:v>0.97285452842383113</c:v>
                </c:pt>
                <c:pt idx="130">
                  <c:v>0.97285452842383113</c:v>
                </c:pt>
                <c:pt idx="131">
                  <c:v>0.97285452842383113</c:v>
                </c:pt>
                <c:pt idx="132">
                  <c:v>0.95431555062431983</c:v>
                </c:pt>
                <c:pt idx="133">
                  <c:v>0.94526523863597467</c:v>
                </c:pt>
                <c:pt idx="134">
                  <c:v>0.93900304266325696</c:v>
                </c:pt>
                <c:pt idx="135">
                  <c:v>0.93408397023448453</c:v>
                </c:pt>
                <c:pt idx="136">
                  <c:v>0.92997640409739935</c:v>
                </c:pt>
                <c:pt idx="137">
                  <c:v>0.92642012673556284</c:v>
                </c:pt>
                <c:pt idx="138">
                  <c:v>0.92266674638686008</c:v>
                </c:pt>
                <c:pt idx="139">
                  <c:v>0.91859627482476058</c:v>
                </c:pt>
                <c:pt idx="140">
                  <c:v>0.91418936410388296</c:v>
                </c:pt>
                <c:pt idx="141">
                  <c:v>0.90940513673670975</c:v>
                </c:pt>
                <c:pt idx="142">
                  <c:v>0.90420069923335833</c:v>
                </c:pt>
                <c:pt idx="143">
                  <c:v>0.89852690215880404</c:v>
                </c:pt>
                <c:pt idx="144">
                  <c:v>0.8923280452550667</c:v>
                </c:pt>
                <c:pt idx="145">
                  <c:v>0.88554071237913856</c:v>
                </c:pt>
                <c:pt idx="146">
                  <c:v>0.8813042663320827</c:v>
                </c:pt>
                <c:pt idx="147">
                  <c:v>0.87271763611255715</c:v>
                </c:pt>
                <c:pt idx="148">
                  <c:v>0.86503915102175011</c:v>
                </c:pt>
                <c:pt idx="149">
                  <c:v>0.8552394874830842</c:v>
                </c:pt>
                <c:pt idx="150">
                  <c:v>0.84473316333568194</c:v>
                </c:pt>
                <c:pt idx="151">
                  <c:v>0.83299431723518536</c:v>
                </c:pt>
                <c:pt idx="152">
                  <c:v>0.81997680259060624</c:v>
                </c:pt>
                <c:pt idx="153">
                  <c:v>0.80547458016927453</c:v>
                </c:pt>
                <c:pt idx="154">
                  <c:v>0.7893006424971396</c:v>
                </c:pt>
                <c:pt idx="155">
                  <c:v>0.77123212562617249</c:v>
                </c:pt>
                <c:pt idx="156">
                  <c:v>0.75103257945464996</c:v>
                </c:pt>
                <c:pt idx="157">
                  <c:v>0.72845568886957368</c:v>
                </c:pt>
                <c:pt idx="158">
                  <c:v>0.70327127069389761</c:v>
                </c:pt>
                <c:pt idx="159">
                  <c:v>0.67530676092515485</c:v>
                </c:pt>
                <c:pt idx="160">
                  <c:v>0.64451521279243373</c:v>
                </c:pt>
                <c:pt idx="161">
                  <c:v>0.61105478378177158</c:v>
                </c:pt>
                <c:pt idx="162">
                  <c:v>0.57534669570155927</c:v>
                </c:pt>
                <c:pt idx="163">
                  <c:v>0.53807598563900061</c:v>
                </c:pt>
                <c:pt idx="164">
                  <c:v>0.50014041541987242</c:v>
                </c:pt>
                <c:pt idx="165">
                  <c:v>0.48980530792201532</c:v>
                </c:pt>
                <c:pt idx="166">
                  <c:v>0.47952536606680624</c:v>
                </c:pt>
                <c:pt idx="167">
                  <c:v>0.46716175694629641</c:v>
                </c:pt>
                <c:pt idx="168">
                  <c:v>0.41106422011527588</c:v>
                </c:pt>
                <c:pt idx="169">
                  <c:v>0.37818505232336652</c:v>
                </c:pt>
                <c:pt idx="170">
                  <c:v>0.32929038282229839</c:v>
                </c:pt>
                <c:pt idx="171">
                  <c:v>0.31208377348349114</c:v>
                </c:pt>
                <c:pt idx="172">
                  <c:v>0.97285452842383113</c:v>
                </c:pt>
                <c:pt idx="173">
                  <c:v>0.97285452842383113</c:v>
                </c:pt>
                <c:pt idx="174">
                  <c:v>0.97285452842383113</c:v>
                </c:pt>
                <c:pt idx="175">
                  <c:v>0.95431555062431983</c:v>
                </c:pt>
                <c:pt idx="176">
                  <c:v>0.94526523863597467</c:v>
                </c:pt>
                <c:pt idx="177">
                  <c:v>0.93900304266325696</c:v>
                </c:pt>
                <c:pt idx="178">
                  <c:v>0.93408397023448453</c:v>
                </c:pt>
                <c:pt idx="179">
                  <c:v>0.92997640409739935</c:v>
                </c:pt>
                <c:pt idx="180">
                  <c:v>0.92642012673556284</c:v>
                </c:pt>
                <c:pt idx="181">
                  <c:v>0.92266674638686008</c:v>
                </c:pt>
                <c:pt idx="182">
                  <c:v>0.91859627482476058</c:v>
                </c:pt>
                <c:pt idx="183">
                  <c:v>0.91418936410388296</c:v>
                </c:pt>
                <c:pt idx="184">
                  <c:v>0.90940513673670975</c:v>
                </c:pt>
                <c:pt idx="185">
                  <c:v>0.90420069923335833</c:v>
                </c:pt>
                <c:pt idx="186">
                  <c:v>0.89852690215880404</c:v>
                </c:pt>
                <c:pt idx="187">
                  <c:v>0.8923280452550667</c:v>
                </c:pt>
                <c:pt idx="188">
                  <c:v>0.88554071237913856</c:v>
                </c:pt>
                <c:pt idx="189">
                  <c:v>0.8813042663320827</c:v>
                </c:pt>
                <c:pt idx="190">
                  <c:v>0.87271763611255715</c:v>
                </c:pt>
                <c:pt idx="191">
                  <c:v>0.86503915102175011</c:v>
                </c:pt>
                <c:pt idx="192">
                  <c:v>0.8552394874830842</c:v>
                </c:pt>
                <c:pt idx="193">
                  <c:v>0.84473316333568194</c:v>
                </c:pt>
                <c:pt idx="194">
                  <c:v>0.83299431723518536</c:v>
                </c:pt>
                <c:pt idx="195">
                  <c:v>0.81997680259060624</c:v>
                </c:pt>
                <c:pt idx="196">
                  <c:v>0.80547458016927453</c:v>
                </c:pt>
                <c:pt idx="197">
                  <c:v>0.7893006424971396</c:v>
                </c:pt>
                <c:pt idx="198">
                  <c:v>0.77123212562617249</c:v>
                </c:pt>
                <c:pt idx="199">
                  <c:v>0.75103257945464996</c:v>
                </c:pt>
                <c:pt idx="200">
                  <c:v>0.72845568886957368</c:v>
                </c:pt>
                <c:pt idx="201">
                  <c:v>0.70327127069389761</c:v>
                </c:pt>
                <c:pt idx="202">
                  <c:v>0.67530676092515485</c:v>
                </c:pt>
                <c:pt idx="203">
                  <c:v>0.64451521279243373</c:v>
                </c:pt>
                <c:pt idx="204">
                  <c:v>0.61105478378177158</c:v>
                </c:pt>
                <c:pt idx="205">
                  <c:v>0.57534669570155927</c:v>
                </c:pt>
                <c:pt idx="206">
                  <c:v>0.53807598563900061</c:v>
                </c:pt>
                <c:pt idx="207">
                  <c:v>0.50014041541987242</c:v>
                </c:pt>
                <c:pt idx="208">
                  <c:v>0.48980530792201532</c:v>
                </c:pt>
                <c:pt idx="209">
                  <c:v>0.47952536606680624</c:v>
                </c:pt>
                <c:pt idx="210">
                  <c:v>0.46716175694629641</c:v>
                </c:pt>
                <c:pt idx="211">
                  <c:v>0.41106422011527588</c:v>
                </c:pt>
                <c:pt idx="212">
                  <c:v>0.37818505232336652</c:v>
                </c:pt>
                <c:pt idx="213">
                  <c:v>0.32929038282229839</c:v>
                </c:pt>
                <c:pt idx="214">
                  <c:v>0.31208377348349114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8-43B9-B3DE-B64B552A7908}"/>
            </c:ext>
          </c:extLst>
        </c:ser>
        <c:ser>
          <c:idx val="0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V_SG_1_V_SL_1!$AA$56:$AA$731</c:f>
              <c:numCache>
                <c:formatCode>General</c:formatCode>
                <c:ptCount val="676"/>
                <c:pt idx="0">
                  <c:v>30.105662832572801</c:v>
                </c:pt>
                <c:pt idx="1">
                  <c:v>28.9626628325728</c:v>
                </c:pt>
                <c:pt idx="2">
                  <c:v>28.9626628325728</c:v>
                </c:pt>
                <c:pt idx="3">
                  <c:v>28.962661832572802</c:v>
                </c:pt>
                <c:pt idx="4">
                  <c:v>28.962660832572801</c:v>
                </c:pt>
                <c:pt idx="5">
                  <c:v>28.9626598325728</c:v>
                </c:pt>
                <c:pt idx="6">
                  <c:v>28.962658832572799</c:v>
                </c:pt>
                <c:pt idx="7">
                  <c:v>28.962657832572802</c:v>
                </c:pt>
                <c:pt idx="8">
                  <c:v>28.962656832572801</c:v>
                </c:pt>
                <c:pt idx="9">
                  <c:v>28.9626558325728</c:v>
                </c:pt>
                <c:pt idx="10">
                  <c:v>28.962654682440192</c:v>
                </c:pt>
                <c:pt idx="11">
                  <c:v>28.96265330764831</c:v>
                </c:pt>
                <c:pt idx="12">
                  <c:v>28.962651665268741</c:v>
                </c:pt>
                <c:pt idx="13">
                  <c:v>28.96264969554889</c:v>
                </c:pt>
                <c:pt idx="14">
                  <c:v>28.962647324809549</c:v>
                </c:pt>
                <c:pt idx="15">
                  <c:v>28.962644460603968</c:v>
                </c:pt>
                <c:pt idx="16">
                  <c:v>28.962640986553623</c:v>
                </c:pt>
                <c:pt idx="17">
                  <c:v>28.962636755404755</c:v>
                </c:pt>
                <c:pt idx="18">
                  <c:v>28.962631579875648</c:v>
                </c:pt>
                <c:pt idx="19">
                  <c:v>28.962625220482735</c:v>
                </c:pt>
                <c:pt idx="20">
                  <c:v>28.962617369246487</c:v>
                </c:pt>
                <c:pt idx="21">
                  <c:v>28.962607627730943</c:v>
                </c:pt>
                <c:pt idx="22">
                  <c:v>28.962595477231122</c:v>
                </c:pt>
                <c:pt idx="23">
                  <c:v>28.962580237990743</c:v>
                </c:pt>
                <c:pt idx="24">
                  <c:v>28.962561012963686</c:v>
                </c:pt>
                <c:pt idx="25">
                  <c:v>28.962536609601251</c:v>
                </c:pt>
                <c:pt idx="26">
                  <c:v>28.962505430101992</c:v>
                </c:pt>
                <c:pt idx="27">
                  <c:v>28.962465315945341</c:v>
                </c:pt>
                <c:pt idx="28">
                  <c:v>28.962413325454754</c:v>
                </c:pt>
                <c:pt idx="29">
                  <c:v>28.962345412157202</c:v>
                </c:pt>
                <c:pt idx="30">
                  <c:v>28.962255954453443</c:v>
                </c:pt>
                <c:pt idx="31">
                  <c:v>28.962137059633342</c:v>
                </c:pt>
                <c:pt idx="32">
                  <c:v>28.961977520876772</c:v>
                </c:pt>
                <c:pt idx="33">
                  <c:v>28.961761233075144</c:v>
                </c:pt>
                <c:pt idx="34">
                  <c:v>28.96146475200467</c:v>
                </c:pt>
                <c:pt idx="35">
                  <c:v>28.961053475866439</c:v>
                </c:pt>
                <c:pt idx="36">
                  <c:v>28.96047557385646</c:v>
                </c:pt>
                <c:pt idx="37">
                  <c:v>28.959652164143453</c:v>
                </c:pt>
                <c:pt idx="38">
                  <c:v>28.958461129893408</c:v>
                </c:pt>
                <c:pt idx="39">
                  <c:v>28.957037196260561</c:v>
                </c:pt>
                <c:pt idx="40">
                  <c:v>28.954395411530648</c:v>
                </c:pt>
                <c:pt idx="41">
                  <c:v>28.950684050996937</c:v>
                </c:pt>
                <c:pt idx="42">
                  <c:v>28.944700100374824</c:v>
                </c:pt>
                <c:pt idx="43">
                  <c:v>28.935367545430665</c:v>
                </c:pt>
                <c:pt idx="44">
                  <c:v>28.92001625059239</c:v>
                </c:pt>
                <c:pt idx="45">
                  <c:v>28.894618622841172</c:v>
                </c:pt>
                <c:pt idx="46">
                  <c:v>28.850935646323222</c:v>
                </c:pt>
                <c:pt idx="47">
                  <c:v>28.774960353849313</c:v>
                </c:pt>
                <c:pt idx="48">
                  <c:v>28.637908215888746</c:v>
                </c:pt>
                <c:pt idx="49">
                  <c:v>28.390076079895955</c:v>
                </c:pt>
                <c:pt idx="50">
                  <c:v>27.919533186341514</c:v>
                </c:pt>
                <c:pt idx="51">
                  <c:v>27.827361667573342</c:v>
                </c:pt>
                <c:pt idx="52">
                  <c:v>27.827361667573342</c:v>
                </c:pt>
                <c:pt idx="53">
                  <c:v>26.684361667573341</c:v>
                </c:pt>
                <c:pt idx="54">
                  <c:v>26.684361667573341</c:v>
                </c:pt>
                <c:pt idx="55">
                  <c:v>26.684360667573344</c:v>
                </c:pt>
                <c:pt idx="56">
                  <c:v>26.684359667573343</c:v>
                </c:pt>
                <c:pt idx="57">
                  <c:v>26.684358667573342</c:v>
                </c:pt>
                <c:pt idx="58">
                  <c:v>26.684357667573341</c:v>
                </c:pt>
                <c:pt idx="59">
                  <c:v>26.684356667573343</c:v>
                </c:pt>
                <c:pt idx="60">
                  <c:v>26.684355667573342</c:v>
                </c:pt>
                <c:pt idx="61">
                  <c:v>26.684354667573341</c:v>
                </c:pt>
                <c:pt idx="62">
                  <c:v>26.684353517440734</c:v>
                </c:pt>
                <c:pt idx="63">
                  <c:v>26.684352142648851</c:v>
                </c:pt>
                <c:pt idx="64">
                  <c:v>26.684350500269282</c:v>
                </c:pt>
                <c:pt idx="65">
                  <c:v>26.684348530549428</c:v>
                </c:pt>
                <c:pt idx="66">
                  <c:v>26.68434615981009</c:v>
                </c:pt>
                <c:pt idx="67">
                  <c:v>26.68434329560451</c:v>
                </c:pt>
                <c:pt idx="68">
                  <c:v>26.684339821554168</c:v>
                </c:pt>
                <c:pt idx="69">
                  <c:v>26.684335590405297</c:v>
                </c:pt>
                <c:pt idx="70">
                  <c:v>26.684330414876193</c:v>
                </c:pt>
                <c:pt idx="71">
                  <c:v>26.684324055483277</c:v>
                </c:pt>
                <c:pt idx="72">
                  <c:v>26.684316204247029</c:v>
                </c:pt>
                <c:pt idx="73">
                  <c:v>26.684306462731485</c:v>
                </c:pt>
                <c:pt idx="74">
                  <c:v>26.684294312231664</c:v>
                </c:pt>
                <c:pt idx="75">
                  <c:v>26.684279072991284</c:v>
                </c:pt>
                <c:pt idx="76">
                  <c:v>26.684259847964228</c:v>
                </c:pt>
                <c:pt idx="77">
                  <c:v>26.684235444601793</c:v>
                </c:pt>
                <c:pt idx="78">
                  <c:v>26.684204265102533</c:v>
                </c:pt>
                <c:pt idx="79">
                  <c:v>26.684164150945882</c:v>
                </c:pt>
                <c:pt idx="80">
                  <c:v>26.684112160455296</c:v>
                </c:pt>
                <c:pt idx="81">
                  <c:v>26.684044247157743</c:v>
                </c:pt>
                <c:pt idx="82">
                  <c:v>26.683954789453985</c:v>
                </c:pt>
                <c:pt idx="83">
                  <c:v>26.683835894633884</c:v>
                </c:pt>
                <c:pt idx="84">
                  <c:v>26.683676355877314</c:v>
                </c:pt>
                <c:pt idx="85">
                  <c:v>26.683460068075686</c:v>
                </c:pt>
                <c:pt idx="86">
                  <c:v>26.683163587005211</c:v>
                </c:pt>
                <c:pt idx="87">
                  <c:v>26.682752310866981</c:v>
                </c:pt>
                <c:pt idx="88">
                  <c:v>26.682174408857001</c:v>
                </c:pt>
                <c:pt idx="89">
                  <c:v>26.681350999143994</c:v>
                </c:pt>
                <c:pt idx="90">
                  <c:v>26.680159964893949</c:v>
                </c:pt>
                <c:pt idx="91">
                  <c:v>26.678736031261103</c:v>
                </c:pt>
                <c:pt idx="92">
                  <c:v>26.676094246531189</c:v>
                </c:pt>
                <c:pt idx="93">
                  <c:v>26.672382885997479</c:v>
                </c:pt>
                <c:pt idx="94">
                  <c:v>26.666398935375366</c:v>
                </c:pt>
                <c:pt idx="95">
                  <c:v>26.657066380431207</c:v>
                </c:pt>
                <c:pt idx="96">
                  <c:v>26.641715085592931</c:v>
                </c:pt>
                <c:pt idx="97">
                  <c:v>26.616317457841717</c:v>
                </c:pt>
                <c:pt idx="98">
                  <c:v>26.572634481323764</c:v>
                </c:pt>
                <c:pt idx="99">
                  <c:v>26.496659188849854</c:v>
                </c:pt>
                <c:pt idx="100">
                  <c:v>26.359607050889288</c:v>
                </c:pt>
                <c:pt idx="101">
                  <c:v>26.111774914896497</c:v>
                </c:pt>
                <c:pt idx="102">
                  <c:v>25.641232021342056</c:v>
                </c:pt>
                <c:pt idx="103">
                  <c:v>25.549060502573884</c:v>
                </c:pt>
                <c:pt idx="104">
                  <c:v>25.549060502573887</c:v>
                </c:pt>
                <c:pt idx="105">
                  <c:v>24.406060502573887</c:v>
                </c:pt>
                <c:pt idx="106">
                  <c:v>24.406060502573887</c:v>
                </c:pt>
                <c:pt idx="107">
                  <c:v>24.406059502573889</c:v>
                </c:pt>
                <c:pt idx="108">
                  <c:v>24.406058502573888</c:v>
                </c:pt>
                <c:pt idx="109">
                  <c:v>24.406057502573887</c:v>
                </c:pt>
                <c:pt idx="110">
                  <c:v>24.406056502573886</c:v>
                </c:pt>
                <c:pt idx="111">
                  <c:v>24.406055502573889</c:v>
                </c:pt>
                <c:pt idx="112">
                  <c:v>24.406054502573888</c:v>
                </c:pt>
                <c:pt idx="113">
                  <c:v>24.406053502573887</c:v>
                </c:pt>
                <c:pt idx="114">
                  <c:v>24.406052352441279</c:v>
                </c:pt>
                <c:pt idx="115">
                  <c:v>24.406050977649397</c:v>
                </c:pt>
                <c:pt idx="116">
                  <c:v>24.406049335269827</c:v>
                </c:pt>
                <c:pt idx="117">
                  <c:v>24.406047365549973</c:v>
                </c:pt>
                <c:pt idx="118">
                  <c:v>24.406044994810635</c:v>
                </c:pt>
                <c:pt idx="119">
                  <c:v>24.406042130605055</c:v>
                </c:pt>
                <c:pt idx="120">
                  <c:v>24.406038656554713</c:v>
                </c:pt>
                <c:pt idx="121">
                  <c:v>24.406034425405842</c:v>
                </c:pt>
                <c:pt idx="122">
                  <c:v>24.406029249876738</c:v>
                </c:pt>
                <c:pt idx="123">
                  <c:v>24.406022890483822</c:v>
                </c:pt>
                <c:pt idx="124">
                  <c:v>24.406015039247574</c:v>
                </c:pt>
                <c:pt idx="125">
                  <c:v>24.40600529773203</c:v>
                </c:pt>
                <c:pt idx="126">
                  <c:v>24.405993147232209</c:v>
                </c:pt>
                <c:pt idx="127">
                  <c:v>24.405977907991829</c:v>
                </c:pt>
                <c:pt idx="128">
                  <c:v>24.405958682964773</c:v>
                </c:pt>
                <c:pt idx="129">
                  <c:v>24.405934279602338</c:v>
                </c:pt>
                <c:pt idx="130">
                  <c:v>24.405903100103078</c:v>
                </c:pt>
                <c:pt idx="131">
                  <c:v>24.405862985946428</c:v>
                </c:pt>
                <c:pt idx="132">
                  <c:v>24.405810995455841</c:v>
                </c:pt>
                <c:pt idx="133">
                  <c:v>24.405743082158288</c:v>
                </c:pt>
                <c:pt idx="134">
                  <c:v>24.40565362445453</c:v>
                </c:pt>
                <c:pt idx="135">
                  <c:v>24.405534729634429</c:v>
                </c:pt>
                <c:pt idx="136">
                  <c:v>24.405375190877859</c:v>
                </c:pt>
                <c:pt idx="137">
                  <c:v>24.405158903076231</c:v>
                </c:pt>
                <c:pt idx="138">
                  <c:v>24.404862422005756</c:v>
                </c:pt>
                <c:pt idx="139">
                  <c:v>24.404451145867526</c:v>
                </c:pt>
                <c:pt idx="140">
                  <c:v>24.403873243857547</c:v>
                </c:pt>
                <c:pt idx="141">
                  <c:v>24.403049834144539</c:v>
                </c:pt>
                <c:pt idx="142">
                  <c:v>24.401858799894494</c:v>
                </c:pt>
                <c:pt idx="143">
                  <c:v>24.400434866261648</c:v>
                </c:pt>
                <c:pt idx="144">
                  <c:v>24.397793081531734</c:v>
                </c:pt>
                <c:pt idx="145">
                  <c:v>24.394081720998024</c:v>
                </c:pt>
                <c:pt idx="146">
                  <c:v>24.388097770375911</c:v>
                </c:pt>
                <c:pt idx="147">
                  <c:v>24.378765215431752</c:v>
                </c:pt>
                <c:pt idx="148">
                  <c:v>24.363413920593477</c:v>
                </c:pt>
                <c:pt idx="149">
                  <c:v>24.338016292842262</c:v>
                </c:pt>
                <c:pt idx="150">
                  <c:v>24.294333316324309</c:v>
                </c:pt>
                <c:pt idx="151">
                  <c:v>24.218358023850399</c:v>
                </c:pt>
                <c:pt idx="152">
                  <c:v>24.081305885889833</c:v>
                </c:pt>
                <c:pt idx="153">
                  <c:v>23.833473749897042</c:v>
                </c:pt>
                <c:pt idx="154">
                  <c:v>23.362930856342601</c:v>
                </c:pt>
                <c:pt idx="155">
                  <c:v>23.270759337574429</c:v>
                </c:pt>
                <c:pt idx="156">
                  <c:v>23.270759337574429</c:v>
                </c:pt>
                <c:pt idx="157">
                  <c:v>22.127759337574428</c:v>
                </c:pt>
                <c:pt idx="158">
                  <c:v>22.127759337574428</c:v>
                </c:pt>
                <c:pt idx="159">
                  <c:v>22.127758337574431</c:v>
                </c:pt>
                <c:pt idx="160">
                  <c:v>22.12775733757443</c:v>
                </c:pt>
                <c:pt idx="161">
                  <c:v>22.127756337574429</c:v>
                </c:pt>
                <c:pt idx="162">
                  <c:v>22.127755337574428</c:v>
                </c:pt>
                <c:pt idx="163">
                  <c:v>22.12775433757443</c:v>
                </c:pt>
                <c:pt idx="164">
                  <c:v>22.127753337574429</c:v>
                </c:pt>
                <c:pt idx="165">
                  <c:v>22.127752337574428</c:v>
                </c:pt>
                <c:pt idx="166">
                  <c:v>22.12775118744182</c:v>
                </c:pt>
                <c:pt idx="167">
                  <c:v>22.127749812649938</c:v>
                </c:pt>
                <c:pt idx="168">
                  <c:v>22.127748170270369</c:v>
                </c:pt>
                <c:pt idx="169">
                  <c:v>22.127746200550519</c:v>
                </c:pt>
                <c:pt idx="170">
                  <c:v>22.127743829811177</c:v>
                </c:pt>
                <c:pt idx="171">
                  <c:v>22.127740965605597</c:v>
                </c:pt>
                <c:pt idx="172">
                  <c:v>22.127737491555251</c:v>
                </c:pt>
                <c:pt idx="173">
                  <c:v>22.127733260406384</c:v>
                </c:pt>
                <c:pt idx="174">
                  <c:v>22.127728084877276</c:v>
                </c:pt>
                <c:pt idx="175">
                  <c:v>22.127721725484363</c:v>
                </c:pt>
                <c:pt idx="176">
                  <c:v>22.127713874248116</c:v>
                </c:pt>
                <c:pt idx="177">
                  <c:v>22.127704132732571</c:v>
                </c:pt>
                <c:pt idx="178">
                  <c:v>22.127691982232751</c:v>
                </c:pt>
                <c:pt idx="179">
                  <c:v>22.127676742992371</c:v>
                </c:pt>
                <c:pt idx="180">
                  <c:v>22.127657517965314</c:v>
                </c:pt>
                <c:pt idx="181">
                  <c:v>22.12763311460288</c:v>
                </c:pt>
                <c:pt idx="182">
                  <c:v>22.12760193510362</c:v>
                </c:pt>
                <c:pt idx="183">
                  <c:v>22.127561820946969</c:v>
                </c:pt>
                <c:pt idx="184">
                  <c:v>22.127509830456383</c:v>
                </c:pt>
                <c:pt idx="185">
                  <c:v>22.12744191715883</c:v>
                </c:pt>
                <c:pt idx="186">
                  <c:v>22.127352459455071</c:v>
                </c:pt>
                <c:pt idx="187">
                  <c:v>22.12723356463497</c:v>
                </c:pt>
                <c:pt idx="188">
                  <c:v>22.1270740258784</c:v>
                </c:pt>
                <c:pt idx="189">
                  <c:v>22.126857738076772</c:v>
                </c:pt>
                <c:pt idx="190">
                  <c:v>22.126561257006298</c:v>
                </c:pt>
                <c:pt idx="191">
                  <c:v>22.126149980868068</c:v>
                </c:pt>
                <c:pt idx="192">
                  <c:v>22.125572078858088</c:v>
                </c:pt>
                <c:pt idx="193">
                  <c:v>22.124748669145081</c:v>
                </c:pt>
                <c:pt idx="194">
                  <c:v>22.123557634895036</c:v>
                </c:pt>
                <c:pt idx="195">
                  <c:v>22.122133701262189</c:v>
                </c:pt>
                <c:pt idx="196">
                  <c:v>22.119491916532276</c:v>
                </c:pt>
                <c:pt idx="197">
                  <c:v>22.115780555998565</c:v>
                </c:pt>
                <c:pt idx="198">
                  <c:v>22.109796605376452</c:v>
                </c:pt>
                <c:pt idx="199">
                  <c:v>22.100464050432294</c:v>
                </c:pt>
                <c:pt idx="200">
                  <c:v>22.085112755594018</c:v>
                </c:pt>
                <c:pt idx="201">
                  <c:v>22.0597151278428</c:v>
                </c:pt>
                <c:pt idx="202">
                  <c:v>22.01603215132485</c:v>
                </c:pt>
                <c:pt idx="203">
                  <c:v>21.940056858850941</c:v>
                </c:pt>
                <c:pt idx="204">
                  <c:v>21.803004720890375</c:v>
                </c:pt>
                <c:pt idx="205">
                  <c:v>21.555172584897583</c:v>
                </c:pt>
                <c:pt idx="206">
                  <c:v>21.084629691343142</c:v>
                </c:pt>
                <c:pt idx="207">
                  <c:v>20.99245817257497</c:v>
                </c:pt>
                <c:pt idx="208">
                  <c:v>20.99245817257497</c:v>
                </c:pt>
                <c:pt idx="209">
                  <c:v>19.84945817257497</c:v>
                </c:pt>
                <c:pt idx="210">
                  <c:v>19.84945817257497</c:v>
                </c:pt>
                <c:pt idx="211">
                  <c:v>19.849457172574972</c:v>
                </c:pt>
                <c:pt idx="212">
                  <c:v>19.849456172574971</c:v>
                </c:pt>
                <c:pt idx="213">
                  <c:v>19.84945517257497</c:v>
                </c:pt>
                <c:pt idx="214">
                  <c:v>19.849454172574969</c:v>
                </c:pt>
                <c:pt idx="215">
                  <c:v>19.849453172574972</c:v>
                </c:pt>
                <c:pt idx="216">
                  <c:v>19.849452172574971</c:v>
                </c:pt>
                <c:pt idx="217">
                  <c:v>19.84945117257497</c:v>
                </c:pt>
                <c:pt idx="218">
                  <c:v>19.849450022442362</c:v>
                </c:pt>
                <c:pt idx="219">
                  <c:v>19.84944864765048</c:v>
                </c:pt>
                <c:pt idx="220">
                  <c:v>19.84944700527091</c:v>
                </c:pt>
                <c:pt idx="221">
                  <c:v>19.849445035551057</c:v>
                </c:pt>
                <c:pt idx="222">
                  <c:v>19.849442664811718</c:v>
                </c:pt>
                <c:pt idx="223">
                  <c:v>19.849439800606138</c:v>
                </c:pt>
                <c:pt idx="224">
                  <c:v>19.849436326555796</c:v>
                </c:pt>
                <c:pt idx="225">
                  <c:v>19.849432095406925</c:v>
                </c:pt>
                <c:pt idx="226">
                  <c:v>19.849426919877821</c:v>
                </c:pt>
                <c:pt idx="227">
                  <c:v>19.849420560484905</c:v>
                </c:pt>
                <c:pt idx="228">
                  <c:v>19.849412709248657</c:v>
                </c:pt>
                <c:pt idx="229">
                  <c:v>19.849402967733113</c:v>
                </c:pt>
                <c:pt idx="230">
                  <c:v>19.849390817233292</c:v>
                </c:pt>
                <c:pt idx="231">
                  <c:v>19.849375577992912</c:v>
                </c:pt>
                <c:pt idx="232">
                  <c:v>19.849356352965856</c:v>
                </c:pt>
                <c:pt idx="233">
                  <c:v>19.849331949603421</c:v>
                </c:pt>
                <c:pt idx="234">
                  <c:v>19.849300770104161</c:v>
                </c:pt>
                <c:pt idx="235">
                  <c:v>19.849260655947511</c:v>
                </c:pt>
                <c:pt idx="236">
                  <c:v>19.849208665456924</c:v>
                </c:pt>
                <c:pt idx="237">
                  <c:v>19.849140752159371</c:v>
                </c:pt>
                <c:pt idx="238">
                  <c:v>19.849051294455613</c:v>
                </c:pt>
                <c:pt idx="239">
                  <c:v>19.848932399635512</c:v>
                </c:pt>
                <c:pt idx="240">
                  <c:v>19.848772860878942</c:v>
                </c:pt>
                <c:pt idx="241">
                  <c:v>19.848556573077314</c:v>
                </c:pt>
                <c:pt idx="242">
                  <c:v>19.848260092006839</c:v>
                </c:pt>
                <c:pt idx="243">
                  <c:v>19.847848815868609</c:v>
                </c:pt>
                <c:pt idx="244">
                  <c:v>19.84727091385863</c:v>
                </c:pt>
                <c:pt idx="245">
                  <c:v>19.846447504145623</c:v>
                </c:pt>
                <c:pt idx="246">
                  <c:v>19.845256469895578</c:v>
                </c:pt>
                <c:pt idx="247">
                  <c:v>19.843832536262731</c:v>
                </c:pt>
                <c:pt idx="248">
                  <c:v>19.841190751532817</c:v>
                </c:pt>
                <c:pt idx="249">
                  <c:v>19.837479390999107</c:v>
                </c:pt>
                <c:pt idx="250">
                  <c:v>19.831495440376994</c:v>
                </c:pt>
                <c:pt idx="251">
                  <c:v>19.822162885432835</c:v>
                </c:pt>
                <c:pt idx="252">
                  <c:v>19.80681159059456</c:v>
                </c:pt>
                <c:pt idx="253">
                  <c:v>19.781413962843345</c:v>
                </c:pt>
                <c:pt idx="254">
                  <c:v>19.737730986325392</c:v>
                </c:pt>
                <c:pt idx="255">
                  <c:v>19.661755693851482</c:v>
                </c:pt>
                <c:pt idx="256">
                  <c:v>19.524703555890916</c:v>
                </c:pt>
                <c:pt idx="257">
                  <c:v>19.276871419898125</c:v>
                </c:pt>
                <c:pt idx="258">
                  <c:v>18.806328526343684</c:v>
                </c:pt>
                <c:pt idx="259">
                  <c:v>18.714157007575512</c:v>
                </c:pt>
                <c:pt idx="260">
                  <c:v>18.714157007575512</c:v>
                </c:pt>
                <c:pt idx="261">
                  <c:v>17.571157007575511</c:v>
                </c:pt>
                <c:pt idx="262">
                  <c:v>17.571157007575511</c:v>
                </c:pt>
                <c:pt idx="263">
                  <c:v>17.571156007575514</c:v>
                </c:pt>
                <c:pt idx="264">
                  <c:v>17.571155007575513</c:v>
                </c:pt>
                <c:pt idx="265">
                  <c:v>17.571154007575512</c:v>
                </c:pt>
                <c:pt idx="266">
                  <c:v>17.571153007575511</c:v>
                </c:pt>
                <c:pt idx="267">
                  <c:v>17.571152007575513</c:v>
                </c:pt>
                <c:pt idx="268">
                  <c:v>17.571151007575512</c:v>
                </c:pt>
                <c:pt idx="269">
                  <c:v>17.571150007575511</c:v>
                </c:pt>
                <c:pt idx="270">
                  <c:v>17.571148857442903</c:v>
                </c:pt>
                <c:pt idx="271">
                  <c:v>17.571147482651021</c:v>
                </c:pt>
                <c:pt idx="272">
                  <c:v>17.571145840271452</c:v>
                </c:pt>
                <c:pt idx="273">
                  <c:v>17.571143870551602</c:v>
                </c:pt>
                <c:pt idx="274">
                  <c:v>17.57114149981226</c:v>
                </c:pt>
                <c:pt idx="275">
                  <c:v>17.57113863560668</c:v>
                </c:pt>
                <c:pt idx="276">
                  <c:v>17.571135161556334</c:v>
                </c:pt>
                <c:pt idx="277">
                  <c:v>17.571130930407467</c:v>
                </c:pt>
                <c:pt idx="278">
                  <c:v>17.571125754878359</c:v>
                </c:pt>
                <c:pt idx="279">
                  <c:v>17.571119395485447</c:v>
                </c:pt>
                <c:pt idx="280">
                  <c:v>17.571111544249199</c:v>
                </c:pt>
                <c:pt idx="281">
                  <c:v>17.571101802733654</c:v>
                </c:pt>
                <c:pt idx="282">
                  <c:v>17.571089652233834</c:v>
                </c:pt>
                <c:pt idx="283">
                  <c:v>17.571074412993454</c:v>
                </c:pt>
                <c:pt idx="284">
                  <c:v>17.571055187966397</c:v>
                </c:pt>
                <c:pt idx="285">
                  <c:v>17.571030784603963</c:v>
                </c:pt>
                <c:pt idx="286">
                  <c:v>17.570999605104703</c:v>
                </c:pt>
                <c:pt idx="287">
                  <c:v>17.570959490948052</c:v>
                </c:pt>
                <c:pt idx="288">
                  <c:v>17.570907500457466</c:v>
                </c:pt>
                <c:pt idx="289">
                  <c:v>17.570839587159913</c:v>
                </c:pt>
                <c:pt idx="290">
                  <c:v>17.570750129456155</c:v>
                </c:pt>
                <c:pt idx="291">
                  <c:v>17.570631234636053</c:v>
                </c:pt>
                <c:pt idx="292">
                  <c:v>17.570471695879483</c:v>
                </c:pt>
                <c:pt idx="293">
                  <c:v>17.570255408077855</c:v>
                </c:pt>
                <c:pt idx="294">
                  <c:v>17.569958927007381</c:v>
                </c:pt>
                <c:pt idx="295">
                  <c:v>17.569547650869151</c:v>
                </c:pt>
                <c:pt idx="296">
                  <c:v>17.568969748859171</c:v>
                </c:pt>
                <c:pt idx="297">
                  <c:v>17.568146339146164</c:v>
                </c:pt>
                <c:pt idx="298">
                  <c:v>17.566955304896119</c:v>
                </c:pt>
                <c:pt idx="299">
                  <c:v>17.565531371263273</c:v>
                </c:pt>
                <c:pt idx="300">
                  <c:v>17.562889586533359</c:v>
                </c:pt>
                <c:pt idx="301">
                  <c:v>17.559178225999649</c:v>
                </c:pt>
                <c:pt idx="302">
                  <c:v>17.553194275377535</c:v>
                </c:pt>
                <c:pt idx="303">
                  <c:v>17.543861720433377</c:v>
                </c:pt>
                <c:pt idx="304">
                  <c:v>17.528510425595101</c:v>
                </c:pt>
                <c:pt idx="305">
                  <c:v>17.503112797843883</c:v>
                </c:pt>
                <c:pt idx="306">
                  <c:v>17.459429821325934</c:v>
                </c:pt>
                <c:pt idx="307">
                  <c:v>17.383454528852024</c:v>
                </c:pt>
                <c:pt idx="308">
                  <c:v>17.246402390891458</c:v>
                </c:pt>
                <c:pt idx="309">
                  <c:v>16.998570254898667</c:v>
                </c:pt>
                <c:pt idx="310">
                  <c:v>16.528027361344225</c:v>
                </c:pt>
                <c:pt idx="311">
                  <c:v>16.435855842576053</c:v>
                </c:pt>
                <c:pt idx="312">
                  <c:v>16.435855842576053</c:v>
                </c:pt>
                <c:pt idx="313">
                  <c:v>15.292855842576053</c:v>
                </c:pt>
                <c:pt idx="314">
                  <c:v>15.292855842576053</c:v>
                </c:pt>
                <c:pt idx="315">
                  <c:v>15.292854842576054</c:v>
                </c:pt>
                <c:pt idx="316">
                  <c:v>15.292853842576054</c:v>
                </c:pt>
                <c:pt idx="317">
                  <c:v>15.292852842576053</c:v>
                </c:pt>
                <c:pt idx="318">
                  <c:v>15.292851842576054</c:v>
                </c:pt>
                <c:pt idx="319">
                  <c:v>15.292850842576053</c:v>
                </c:pt>
                <c:pt idx="320">
                  <c:v>15.292849842576054</c:v>
                </c:pt>
                <c:pt idx="321">
                  <c:v>15.292848842576053</c:v>
                </c:pt>
                <c:pt idx="322">
                  <c:v>15.292847692443443</c:v>
                </c:pt>
                <c:pt idx="323">
                  <c:v>15.292846317651561</c:v>
                </c:pt>
                <c:pt idx="324">
                  <c:v>15.292844675271994</c:v>
                </c:pt>
                <c:pt idx="325">
                  <c:v>15.292842705552141</c:v>
                </c:pt>
                <c:pt idx="326">
                  <c:v>15.292840334812803</c:v>
                </c:pt>
                <c:pt idx="327">
                  <c:v>15.292837470607221</c:v>
                </c:pt>
                <c:pt idx="328">
                  <c:v>15.292833996556878</c:v>
                </c:pt>
                <c:pt idx="329">
                  <c:v>15.29282976540801</c:v>
                </c:pt>
                <c:pt idx="330">
                  <c:v>15.292824589878903</c:v>
                </c:pt>
                <c:pt idx="331">
                  <c:v>15.292818230485986</c:v>
                </c:pt>
                <c:pt idx="332">
                  <c:v>15.29281037924974</c:v>
                </c:pt>
                <c:pt idx="333">
                  <c:v>15.292800637734196</c:v>
                </c:pt>
                <c:pt idx="334">
                  <c:v>15.292788487234375</c:v>
                </c:pt>
                <c:pt idx="335">
                  <c:v>15.292773247993997</c:v>
                </c:pt>
                <c:pt idx="336">
                  <c:v>15.292754022966939</c:v>
                </c:pt>
                <c:pt idx="337">
                  <c:v>15.292729619604502</c:v>
                </c:pt>
                <c:pt idx="338">
                  <c:v>15.292698440105244</c:v>
                </c:pt>
                <c:pt idx="339">
                  <c:v>15.292658325948594</c:v>
                </c:pt>
                <c:pt idx="340">
                  <c:v>15.292606335458009</c:v>
                </c:pt>
                <c:pt idx="341">
                  <c:v>15.292538422160456</c:v>
                </c:pt>
                <c:pt idx="342">
                  <c:v>15.292448964456698</c:v>
                </c:pt>
                <c:pt idx="343">
                  <c:v>15.292330069636595</c:v>
                </c:pt>
                <c:pt idx="344">
                  <c:v>15.292170530880023</c:v>
                </c:pt>
                <c:pt idx="345">
                  <c:v>15.291954243078395</c:v>
                </c:pt>
                <c:pt idx="346">
                  <c:v>15.291657762007924</c:v>
                </c:pt>
                <c:pt idx="347">
                  <c:v>15.291246485869692</c:v>
                </c:pt>
                <c:pt idx="348">
                  <c:v>15.290668583859713</c:v>
                </c:pt>
                <c:pt idx="349">
                  <c:v>15.289845174146706</c:v>
                </c:pt>
                <c:pt idx="350">
                  <c:v>15.288654139896659</c:v>
                </c:pt>
                <c:pt idx="351">
                  <c:v>15.287230206263814</c:v>
                </c:pt>
                <c:pt idx="352">
                  <c:v>15.284588421533901</c:v>
                </c:pt>
                <c:pt idx="353">
                  <c:v>15.280877061000188</c:v>
                </c:pt>
                <c:pt idx="354">
                  <c:v>15.274893110378077</c:v>
                </c:pt>
                <c:pt idx="355">
                  <c:v>15.265560555433918</c:v>
                </c:pt>
                <c:pt idx="356">
                  <c:v>15.250209260595643</c:v>
                </c:pt>
                <c:pt idx="357">
                  <c:v>15.224811632844427</c:v>
                </c:pt>
                <c:pt idx="358">
                  <c:v>15.181128656326475</c:v>
                </c:pt>
                <c:pt idx="359">
                  <c:v>15.105153363852565</c:v>
                </c:pt>
                <c:pt idx="360">
                  <c:v>14.968101225892001</c:v>
                </c:pt>
                <c:pt idx="361">
                  <c:v>14.720269089899208</c:v>
                </c:pt>
                <c:pt idx="362">
                  <c:v>14.249726196344767</c:v>
                </c:pt>
                <c:pt idx="363">
                  <c:v>14.157554677576595</c:v>
                </c:pt>
                <c:pt idx="364">
                  <c:v>14.157554677576599</c:v>
                </c:pt>
                <c:pt idx="365">
                  <c:v>13.014554677576598</c:v>
                </c:pt>
                <c:pt idx="366">
                  <c:v>13.014554677576598</c:v>
                </c:pt>
                <c:pt idx="367">
                  <c:v>13.014553677576599</c:v>
                </c:pt>
                <c:pt idx="368">
                  <c:v>13.014552677576599</c:v>
                </c:pt>
                <c:pt idx="369">
                  <c:v>13.014551677576598</c:v>
                </c:pt>
                <c:pt idx="370">
                  <c:v>13.014550677576599</c:v>
                </c:pt>
                <c:pt idx="371">
                  <c:v>13.014549677576598</c:v>
                </c:pt>
                <c:pt idx="372">
                  <c:v>13.014548677576599</c:v>
                </c:pt>
                <c:pt idx="373">
                  <c:v>13.014547677576598</c:v>
                </c:pt>
                <c:pt idx="374">
                  <c:v>13.014546527443988</c:v>
                </c:pt>
                <c:pt idx="375">
                  <c:v>13.014545152652106</c:v>
                </c:pt>
                <c:pt idx="376">
                  <c:v>13.014543510272539</c:v>
                </c:pt>
                <c:pt idx="377">
                  <c:v>13.014541540552687</c:v>
                </c:pt>
                <c:pt idx="378">
                  <c:v>13.014539169813348</c:v>
                </c:pt>
                <c:pt idx="379">
                  <c:v>13.014536305607766</c:v>
                </c:pt>
                <c:pt idx="380">
                  <c:v>13.014532831557423</c:v>
                </c:pt>
                <c:pt idx="381">
                  <c:v>13.014528600408555</c:v>
                </c:pt>
                <c:pt idx="382">
                  <c:v>13.014523424879448</c:v>
                </c:pt>
                <c:pt idx="383">
                  <c:v>13.014517065486531</c:v>
                </c:pt>
                <c:pt idx="384">
                  <c:v>13.014509214250285</c:v>
                </c:pt>
                <c:pt idx="385">
                  <c:v>13.014499472734741</c:v>
                </c:pt>
                <c:pt idx="386">
                  <c:v>13.01448732223492</c:v>
                </c:pt>
                <c:pt idx="387">
                  <c:v>13.014472082994542</c:v>
                </c:pt>
                <c:pt idx="388">
                  <c:v>13.014452857967484</c:v>
                </c:pt>
                <c:pt idx="389">
                  <c:v>13.014428454605047</c:v>
                </c:pt>
                <c:pt idx="390">
                  <c:v>13.014397275105789</c:v>
                </c:pt>
                <c:pt idx="391">
                  <c:v>13.014357160949139</c:v>
                </c:pt>
                <c:pt idx="392">
                  <c:v>13.014305170458554</c:v>
                </c:pt>
                <c:pt idx="393">
                  <c:v>13.014237257161001</c:v>
                </c:pt>
                <c:pt idx="394">
                  <c:v>13.014147799457243</c:v>
                </c:pt>
                <c:pt idx="395">
                  <c:v>13.01402890463714</c:v>
                </c:pt>
                <c:pt idx="396">
                  <c:v>13.013869365880568</c:v>
                </c:pt>
                <c:pt idx="397">
                  <c:v>13.01365307807894</c:v>
                </c:pt>
                <c:pt idx="398">
                  <c:v>13.013356597008469</c:v>
                </c:pt>
                <c:pt idx="399">
                  <c:v>13.012945320870237</c:v>
                </c:pt>
                <c:pt idx="400">
                  <c:v>13.012367418860258</c:v>
                </c:pt>
                <c:pt idx="401">
                  <c:v>13.011544009147251</c:v>
                </c:pt>
                <c:pt idx="402">
                  <c:v>13.010352974897204</c:v>
                </c:pt>
                <c:pt idx="403">
                  <c:v>13.008929041264359</c:v>
                </c:pt>
                <c:pt idx="404">
                  <c:v>13.006287256534446</c:v>
                </c:pt>
                <c:pt idx="405">
                  <c:v>13.002575896000733</c:v>
                </c:pt>
                <c:pt idx="406">
                  <c:v>12.996591945378622</c:v>
                </c:pt>
                <c:pt idx="407">
                  <c:v>12.987259390434463</c:v>
                </c:pt>
                <c:pt idx="408">
                  <c:v>12.971908095596188</c:v>
                </c:pt>
                <c:pt idx="409">
                  <c:v>12.946510467844972</c:v>
                </c:pt>
                <c:pt idx="410">
                  <c:v>12.90282749132702</c:v>
                </c:pt>
                <c:pt idx="411">
                  <c:v>12.826852198853111</c:v>
                </c:pt>
                <c:pt idx="412">
                  <c:v>12.689800060892546</c:v>
                </c:pt>
                <c:pt idx="413">
                  <c:v>12.441967924899753</c:v>
                </c:pt>
                <c:pt idx="414">
                  <c:v>11.971425031345312</c:v>
                </c:pt>
                <c:pt idx="415">
                  <c:v>11.87925351257714</c:v>
                </c:pt>
                <c:pt idx="416">
                  <c:v>11.87925351257714</c:v>
                </c:pt>
                <c:pt idx="417">
                  <c:v>10.736253512577139</c:v>
                </c:pt>
                <c:pt idx="418">
                  <c:v>10.736253512577139</c:v>
                </c:pt>
                <c:pt idx="419">
                  <c:v>10.73625251257714</c:v>
                </c:pt>
                <c:pt idx="420">
                  <c:v>10.736251512577141</c:v>
                </c:pt>
                <c:pt idx="421">
                  <c:v>10.73625051257714</c:v>
                </c:pt>
                <c:pt idx="422">
                  <c:v>10.736249512577141</c:v>
                </c:pt>
                <c:pt idx="423">
                  <c:v>10.73624851257714</c:v>
                </c:pt>
                <c:pt idx="424">
                  <c:v>10.73624751257714</c:v>
                </c:pt>
                <c:pt idx="425">
                  <c:v>10.736246512577139</c:v>
                </c:pt>
                <c:pt idx="426">
                  <c:v>10.73624536244453</c:v>
                </c:pt>
                <c:pt idx="427">
                  <c:v>10.736243987652648</c:v>
                </c:pt>
                <c:pt idx="428">
                  <c:v>10.73624234527308</c:v>
                </c:pt>
                <c:pt idx="429">
                  <c:v>10.736240375553228</c:v>
                </c:pt>
                <c:pt idx="430">
                  <c:v>10.73623800481389</c:v>
                </c:pt>
                <c:pt idx="431">
                  <c:v>10.736235140608308</c:v>
                </c:pt>
                <c:pt idx="432">
                  <c:v>10.736231666557964</c:v>
                </c:pt>
                <c:pt idx="433">
                  <c:v>10.736227435409097</c:v>
                </c:pt>
                <c:pt idx="434">
                  <c:v>10.736222259879989</c:v>
                </c:pt>
                <c:pt idx="435">
                  <c:v>10.736215900487073</c:v>
                </c:pt>
                <c:pt idx="436">
                  <c:v>10.736208049250827</c:v>
                </c:pt>
                <c:pt idx="437">
                  <c:v>10.736198307735282</c:v>
                </c:pt>
                <c:pt idx="438">
                  <c:v>10.736186157235462</c:v>
                </c:pt>
                <c:pt idx="439">
                  <c:v>10.736170917995084</c:v>
                </c:pt>
                <c:pt idx="440">
                  <c:v>10.736151692968026</c:v>
                </c:pt>
                <c:pt idx="441">
                  <c:v>10.736127289605589</c:v>
                </c:pt>
                <c:pt idx="442">
                  <c:v>10.736096110106331</c:v>
                </c:pt>
                <c:pt idx="443">
                  <c:v>10.73605599594968</c:v>
                </c:pt>
                <c:pt idx="444">
                  <c:v>10.736004005459096</c:v>
                </c:pt>
                <c:pt idx="445">
                  <c:v>10.735936092161543</c:v>
                </c:pt>
                <c:pt idx="446">
                  <c:v>10.735846634457785</c:v>
                </c:pt>
                <c:pt idx="447">
                  <c:v>10.735727739637682</c:v>
                </c:pt>
                <c:pt idx="448">
                  <c:v>10.73556820088111</c:v>
                </c:pt>
                <c:pt idx="449">
                  <c:v>10.735351913079482</c:v>
                </c:pt>
                <c:pt idx="450">
                  <c:v>10.735055432009011</c:v>
                </c:pt>
                <c:pt idx="451">
                  <c:v>10.734644155870779</c:v>
                </c:pt>
                <c:pt idx="452">
                  <c:v>10.734066253860799</c:v>
                </c:pt>
                <c:pt idx="453">
                  <c:v>10.733242844147792</c:v>
                </c:pt>
                <c:pt idx="454">
                  <c:v>10.732051809897746</c:v>
                </c:pt>
                <c:pt idx="455">
                  <c:v>10.730627876264901</c:v>
                </c:pt>
                <c:pt idx="456">
                  <c:v>10.727986091534987</c:v>
                </c:pt>
                <c:pt idx="457">
                  <c:v>10.724274731001275</c:v>
                </c:pt>
                <c:pt idx="458">
                  <c:v>10.718290780379164</c:v>
                </c:pt>
                <c:pt idx="459">
                  <c:v>10.708958225435005</c:v>
                </c:pt>
                <c:pt idx="460">
                  <c:v>10.693606930596729</c:v>
                </c:pt>
                <c:pt idx="461">
                  <c:v>10.668209302845513</c:v>
                </c:pt>
                <c:pt idx="462">
                  <c:v>10.624526326327562</c:v>
                </c:pt>
                <c:pt idx="463">
                  <c:v>10.548551033853652</c:v>
                </c:pt>
                <c:pt idx="464">
                  <c:v>10.411498895893088</c:v>
                </c:pt>
                <c:pt idx="465">
                  <c:v>10.163666759900295</c:v>
                </c:pt>
                <c:pt idx="466">
                  <c:v>9.6931238663458537</c:v>
                </c:pt>
                <c:pt idx="467">
                  <c:v>9.6009523475776817</c:v>
                </c:pt>
                <c:pt idx="468">
                  <c:v>9.6009523475776817</c:v>
                </c:pt>
                <c:pt idx="469">
                  <c:v>8.457952347577681</c:v>
                </c:pt>
                <c:pt idx="470">
                  <c:v>8.457952347577681</c:v>
                </c:pt>
                <c:pt idx="471">
                  <c:v>8.4579513475776817</c:v>
                </c:pt>
                <c:pt idx="472">
                  <c:v>8.4579503475776825</c:v>
                </c:pt>
                <c:pt idx="473">
                  <c:v>8.4579493475776815</c:v>
                </c:pt>
                <c:pt idx="474">
                  <c:v>8.4579483475776822</c:v>
                </c:pt>
                <c:pt idx="475">
                  <c:v>8.4579473475776812</c:v>
                </c:pt>
                <c:pt idx="476">
                  <c:v>8.4579463475776819</c:v>
                </c:pt>
                <c:pt idx="477">
                  <c:v>8.4579453475776809</c:v>
                </c:pt>
                <c:pt idx="478">
                  <c:v>8.4579441974450713</c:v>
                </c:pt>
                <c:pt idx="479">
                  <c:v>8.4579428226531892</c:v>
                </c:pt>
                <c:pt idx="480">
                  <c:v>8.4579411802736217</c:v>
                </c:pt>
                <c:pt idx="481">
                  <c:v>8.4579392105537696</c:v>
                </c:pt>
                <c:pt idx="482">
                  <c:v>8.4579368398144315</c:v>
                </c:pt>
                <c:pt idx="483">
                  <c:v>8.4579339756088494</c:v>
                </c:pt>
                <c:pt idx="484">
                  <c:v>8.457930501558506</c:v>
                </c:pt>
                <c:pt idx="485">
                  <c:v>8.4579262704096383</c:v>
                </c:pt>
                <c:pt idx="486">
                  <c:v>8.4579210948805308</c:v>
                </c:pt>
                <c:pt idx="487">
                  <c:v>8.4579147354876145</c:v>
                </c:pt>
                <c:pt idx="488">
                  <c:v>8.4579068842513685</c:v>
                </c:pt>
                <c:pt idx="489">
                  <c:v>8.457897142735824</c:v>
                </c:pt>
                <c:pt idx="490">
                  <c:v>8.4578849922360035</c:v>
                </c:pt>
                <c:pt idx="491">
                  <c:v>8.4578697529956255</c:v>
                </c:pt>
                <c:pt idx="492">
                  <c:v>8.4578505279685672</c:v>
                </c:pt>
                <c:pt idx="493">
                  <c:v>8.4578261246061306</c:v>
                </c:pt>
                <c:pt idx="494">
                  <c:v>8.4577949451068726</c:v>
                </c:pt>
                <c:pt idx="495">
                  <c:v>8.457754830950222</c:v>
                </c:pt>
                <c:pt idx="496">
                  <c:v>8.4577028404596373</c:v>
                </c:pt>
                <c:pt idx="497">
                  <c:v>8.4576349271620845</c:v>
                </c:pt>
                <c:pt idx="498">
                  <c:v>8.4575454694583261</c:v>
                </c:pt>
                <c:pt idx="499">
                  <c:v>8.4574265746382231</c:v>
                </c:pt>
                <c:pt idx="500">
                  <c:v>8.4572670358816513</c:v>
                </c:pt>
                <c:pt idx="501">
                  <c:v>8.4570507480800234</c:v>
                </c:pt>
                <c:pt idx="502">
                  <c:v>8.4567542670095524</c:v>
                </c:pt>
                <c:pt idx="503">
                  <c:v>8.4563429908713204</c:v>
                </c:pt>
                <c:pt idx="504">
                  <c:v>8.4557650888613409</c:v>
                </c:pt>
                <c:pt idx="505">
                  <c:v>8.4549416791483338</c:v>
                </c:pt>
                <c:pt idx="506">
                  <c:v>8.4537506448982871</c:v>
                </c:pt>
                <c:pt idx="507">
                  <c:v>8.4523267112654423</c:v>
                </c:pt>
                <c:pt idx="508">
                  <c:v>8.4496849265355287</c:v>
                </c:pt>
                <c:pt idx="509">
                  <c:v>8.4459735660018165</c:v>
                </c:pt>
                <c:pt idx="510">
                  <c:v>8.4399896153797052</c:v>
                </c:pt>
                <c:pt idx="511">
                  <c:v>8.4306570604355464</c:v>
                </c:pt>
                <c:pt idx="512">
                  <c:v>8.4153057655972709</c:v>
                </c:pt>
                <c:pt idx="513">
                  <c:v>8.3899081378460547</c:v>
                </c:pt>
                <c:pt idx="514">
                  <c:v>8.3462251613281033</c:v>
                </c:pt>
                <c:pt idx="515">
                  <c:v>8.2702498688541937</c:v>
                </c:pt>
                <c:pt idx="516">
                  <c:v>8.1331977308936292</c:v>
                </c:pt>
                <c:pt idx="517">
                  <c:v>7.8853655949008363</c:v>
                </c:pt>
                <c:pt idx="518">
                  <c:v>7.4148227013463952</c:v>
                </c:pt>
                <c:pt idx="519">
                  <c:v>7.3226511825782241</c:v>
                </c:pt>
                <c:pt idx="520">
                  <c:v>7.3226511825782232</c:v>
                </c:pt>
                <c:pt idx="521">
                  <c:v>6.1796511825782234</c:v>
                </c:pt>
                <c:pt idx="522">
                  <c:v>6.1796511825782234</c:v>
                </c:pt>
                <c:pt idx="523">
                  <c:v>6.1796501825782233</c:v>
                </c:pt>
                <c:pt idx="524">
                  <c:v>6.1796491825782232</c:v>
                </c:pt>
                <c:pt idx="525">
                  <c:v>6.179648182578223</c:v>
                </c:pt>
                <c:pt idx="526">
                  <c:v>6.1796471825782238</c:v>
                </c:pt>
                <c:pt idx="527">
                  <c:v>6.1796461825782236</c:v>
                </c:pt>
                <c:pt idx="528">
                  <c:v>6.1796451825782235</c:v>
                </c:pt>
                <c:pt idx="529">
                  <c:v>6.1796441825782233</c:v>
                </c:pt>
                <c:pt idx="530">
                  <c:v>6.1796430324456129</c:v>
                </c:pt>
                <c:pt idx="531">
                  <c:v>6.1796416576537307</c:v>
                </c:pt>
                <c:pt idx="532">
                  <c:v>6.1796400152741624</c:v>
                </c:pt>
                <c:pt idx="533">
                  <c:v>6.1796380455543112</c:v>
                </c:pt>
                <c:pt idx="534">
                  <c:v>6.179635674814973</c:v>
                </c:pt>
                <c:pt idx="535">
                  <c:v>6.179632810609391</c:v>
                </c:pt>
                <c:pt idx="536">
                  <c:v>6.1796293365590476</c:v>
                </c:pt>
                <c:pt idx="537">
                  <c:v>6.1796251054101798</c:v>
                </c:pt>
                <c:pt idx="538">
                  <c:v>6.1796199298810723</c:v>
                </c:pt>
                <c:pt idx="539">
                  <c:v>6.179613570488157</c:v>
                </c:pt>
                <c:pt idx="540">
                  <c:v>6.1796057192519109</c:v>
                </c:pt>
                <c:pt idx="541">
                  <c:v>6.1795959777363656</c:v>
                </c:pt>
                <c:pt idx="542">
                  <c:v>6.1795838272365451</c:v>
                </c:pt>
                <c:pt idx="543">
                  <c:v>6.1795685879961662</c:v>
                </c:pt>
                <c:pt idx="544">
                  <c:v>6.1795493629691096</c:v>
                </c:pt>
                <c:pt idx="545">
                  <c:v>6.1795249596066721</c:v>
                </c:pt>
                <c:pt idx="546">
                  <c:v>6.1794937801074132</c:v>
                </c:pt>
                <c:pt idx="547">
                  <c:v>6.1794536659507635</c:v>
                </c:pt>
                <c:pt idx="548">
                  <c:v>6.1794016754601779</c:v>
                </c:pt>
                <c:pt idx="549">
                  <c:v>6.1793337621626261</c:v>
                </c:pt>
                <c:pt idx="550">
                  <c:v>6.1792443044588667</c:v>
                </c:pt>
                <c:pt idx="551">
                  <c:v>6.1791254096387647</c:v>
                </c:pt>
                <c:pt idx="552">
                  <c:v>6.1789658708821937</c:v>
                </c:pt>
                <c:pt idx="553">
                  <c:v>6.178749583080565</c:v>
                </c:pt>
                <c:pt idx="554">
                  <c:v>6.1784531020100939</c:v>
                </c:pt>
                <c:pt idx="555">
                  <c:v>6.1780418258718619</c:v>
                </c:pt>
                <c:pt idx="556">
                  <c:v>6.1774639238618816</c:v>
                </c:pt>
                <c:pt idx="557">
                  <c:v>6.1766405141488754</c:v>
                </c:pt>
                <c:pt idx="558">
                  <c:v>6.1754494798988295</c:v>
                </c:pt>
                <c:pt idx="559">
                  <c:v>6.174025546265983</c:v>
                </c:pt>
                <c:pt idx="560">
                  <c:v>6.1713837615360703</c:v>
                </c:pt>
                <c:pt idx="561">
                  <c:v>6.1676724010023589</c:v>
                </c:pt>
                <c:pt idx="562">
                  <c:v>6.1616884503802458</c:v>
                </c:pt>
                <c:pt idx="563">
                  <c:v>6.1523558954360889</c:v>
                </c:pt>
                <c:pt idx="564">
                  <c:v>6.1370046005978134</c:v>
                </c:pt>
                <c:pt idx="565">
                  <c:v>6.1116069728465963</c:v>
                </c:pt>
                <c:pt idx="566">
                  <c:v>6.0679239963286449</c:v>
                </c:pt>
                <c:pt idx="567">
                  <c:v>5.9919487038547361</c:v>
                </c:pt>
                <c:pt idx="568">
                  <c:v>5.8548965658941707</c:v>
                </c:pt>
                <c:pt idx="569">
                  <c:v>5.6070644299013779</c:v>
                </c:pt>
                <c:pt idx="570">
                  <c:v>5.1365215363469368</c:v>
                </c:pt>
                <c:pt idx="571">
                  <c:v>5.0443500175787657</c:v>
                </c:pt>
                <c:pt idx="572">
                  <c:v>5.0443500175787683</c:v>
                </c:pt>
                <c:pt idx="573">
                  <c:v>3.9013500175787685</c:v>
                </c:pt>
                <c:pt idx="574">
                  <c:v>3.9013500175787685</c:v>
                </c:pt>
                <c:pt idx="575">
                  <c:v>3.9013490175787684</c:v>
                </c:pt>
                <c:pt idx="576">
                  <c:v>3.9013480175787683</c:v>
                </c:pt>
                <c:pt idx="577">
                  <c:v>3.9013470175787686</c:v>
                </c:pt>
                <c:pt idx="578">
                  <c:v>3.9013460175787689</c:v>
                </c:pt>
                <c:pt idx="579">
                  <c:v>3.9013450175787687</c:v>
                </c:pt>
                <c:pt idx="580">
                  <c:v>3.9013440175787686</c:v>
                </c:pt>
                <c:pt idx="581">
                  <c:v>3.9013430175787684</c:v>
                </c:pt>
                <c:pt idx="582">
                  <c:v>3.901341867446158</c:v>
                </c:pt>
                <c:pt idx="583">
                  <c:v>3.9013404926542758</c:v>
                </c:pt>
                <c:pt idx="584">
                  <c:v>3.9013388502747075</c:v>
                </c:pt>
                <c:pt idx="585">
                  <c:v>3.9013368805548563</c:v>
                </c:pt>
                <c:pt idx="586">
                  <c:v>3.9013345098155181</c:v>
                </c:pt>
                <c:pt idx="587">
                  <c:v>3.9013316456099365</c:v>
                </c:pt>
                <c:pt idx="588">
                  <c:v>3.9013281715595927</c:v>
                </c:pt>
                <c:pt idx="589">
                  <c:v>3.9013239404107245</c:v>
                </c:pt>
                <c:pt idx="590">
                  <c:v>3.9013187648816174</c:v>
                </c:pt>
                <c:pt idx="591">
                  <c:v>3.9013124054887021</c:v>
                </c:pt>
                <c:pt idx="592">
                  <c:v>3.901304554252456</c:v>
                </c:pt>
                <c:pt idx="593">
                  <c:v>3.9012948127369107</c:v>
                </c:pt>
                <c:pt idx="594">
                  <c:v>3.9012826622370902</c:v>
                </c:pt>
                <c:pt idx="595">
                  <c:v>3.9012674229967113</c:v>
                </c:pt>
                <c:pt idx="596">
                  <c:v>3.9012481979696547</c:v>
                </c:pt>
                <c:pt idx="597">
                  <c:v>3.9012237946072172</c:v>
                </c:pt>
                <c:pt idx="598">
                  <c:v>3.9011926151079583</c:v>
                </c:pt>
                <c:pt idx="599">
                  <c:v>3.9011525009513082</c:v>
                </c:pt>
                <c:pt idx="600">
                  <c:v>3.901100510460723</c:v>
                </c:pt>
                <c:pt idx="601">
                  <c:v>3.9010325971631707</c:v>
                </c:pt>
                <c:pt idx="602">
                  <c:v>3.9009431394594118</c:v>
                </c:pt>
                <c:pt idx="603">
                  <c:v>3.9008242446393098</c:v>
                </c:pt>
                <c:pt idx="604">
                  <c:v>3.9006647058827388</c:v>
                </c:pt>
                <c:pt idx="605">
                  <c:v>3.9004484180811101</c:v>
                </c:pt>
                <c:pt idx="606">
                  <c:v>3.9001519370106386</c:v>
                </c:pt>
                <c:pt idx="607">
                  <c:v>3.899740660872407</c:v>
                </c:pt>
                <c:pt idx="608">
                  <c:v>3.8991627588624267</c:v>
                </c:pt>
                <c:pt idx="609">
                  <c:v>3.89833934914942</c:v>
                </c:pt>
                <c:pt idx="610">
                  <c:v>3.8971483148993746</c:v>
                </c:pt>
                <c:pt idx="611">
                  <c:v>3.8957243812665281</c:v>
                </c:pt>
                <c:pt idx="612">
                  <c:v>3.8930825965366154</c:v>
                </c:pt>
                <c:pt idx="613">
                  <c:v>3.889371236002904</c:v>
                </c:pt>
                <c:pt idx="614">
                  <c:v>3.8833872853807909</c:v>
                </c:pt>
                <c:pt idx="615">
                  <c:v>3.874054730436634</c:v>
                </c:pt>
                <c:pt idx="616">
                  <c:v>3.8587034355983585</c:v>
                </c:pt>
                <c:pt idx="617">
                  <c:v>3.8333058078471414</c:v>
                </c:pt>
                <c:pt idx="618">
                  <c:v>3.78962283132919</c:v>
                </c:pt>
                <c:pt idx="619">
                  <c:v>3.7136475388552812</c:v>
                </c:pt>
                <c:pt idx="620">
                  <c:v>3.5765954008947154</c:v>
                </c:pt>
                <c:pt idx="621">
                  <c:v>3.328763264901923</c:v>
                </c:pt>
                <c:pt idx="622">
                  <c:v>2.8582203713474819</c:v>
                </c:pt>
                <c:pt idx="623">
                  <c:v>2.7660488525793108</c:v>
                </c:pt>
                <c:pt idx="624">
                  <c:v>2.7660488525793099</c:v>
                </c:pt>
                <c:pt idx="625">
                  <c:v>1.6230488525793101</c:v>
                </c:pt>
                <c:pt idx="626">
                  <c:v>1.6230488525793101</c:v>
                </c:pt>
                <c:pt idx="627">
                  <c:v>1.6230478525793102</c:v>
                </c:pt>
                <c:pt idx="628">
                  <c:v>1.62304685257931</c:v>
                </c:pt>
                <c:pt idx="629">
                  <c:v>1.6230458525793101</c:v>
                </c:pt>
                <c:pt idx="630">
                  <c:v>1.6230448525793102</c:v>
                </c:pt>
                <c:pt idx="631">
                  <c:v>1.6230438525793101</c:v>
                </c:pt>
                <c:pt idx="632">
                  <c:v>1.6230428525793101</c:v>
                </c:pt>
                <c:pt idx="633">
                  <c:v>1.62304185257931</c:v>
                </c:pt>
                <c:pt idx="634">
                  <c:v>1.6230407024466997</c:v>
                </c:pt>
                <c:pt idx="635">
                  <c:v>1.6230393276548176</c:v>
                </c:pt>
                <c:pt idx="636">
                  <c:v>1.6230376852752493</c:v>
                </c:pt>
                <c:pt idx="637">
                  <c:v>1.6230357155553978</c:v>
                </c:pt>
                <c:pt idx="638">
                  <c:v>1.6230333448160594</c:v>
                </c:pt>
                <c:pt idx="639">
                  <c:v>1.6230304806104781</c:v>
                </c:pt>
                <c:pt idx="640">
                  <c:v>1.6230270065601342</c:v>
                </c:pt>
                <c:pt idx="641">
                  <c:v>1.623022775411266</c:v>
                </c:pt>
                <c:pt idx="642">
                  <c:v>1.623017599882159</c:v>
                </c:pt>
                <c:pt idx="643">
                  <c:v>1.6230112404892434</c:v>
                </c:pt>
                <c:pt idx="644">
                  <c:v>1.6230033892529974</c:v>
                </c:pt>
                <c:pt idx="645">
                  <c:v>1.622993647737452</c:v>
                </c:pt>
                <c:pt idx="646">
                  <c:v>1.622981497237632</c:v>
                </c:pt>
                <c:pt idx="647">
                  <c:v>1.622966257997253</c:v>
                </c:pt>
                <c:pt idx="648">
                  <c:v>1.622947032970196</c:v>
                </c:pt>
                <c:pt idx="649">
                  <c:v>1.622922629607759</c:v>
                </c:pt>
                <c:pt idx="650">
                  <c:v>1.6228914501085001</c:v>
                </c:pt>
                <c:pt idx="651">
                  <c:v>1.6228513359518497</c:v>
                </c:pt>
                <c:pt idx="652">
                  <c:v>1.6227993454612648</c:v>
                </c:pt>
                <c:pt idx="653">
                  <c:v>1.6227314321637123</c:v>
                </c:pt>
                <c:pt idx="654">
                  <c:v>1.6226419744599536</c:v>
                </c:pt>
                <c:pt idx="655">
                  <c:v>1.6225230796398515</c:v>
                </c:pt>
                <c:pt idx="656">
                  <c:v>1.6223635408832802</c:v>
                </c:pt>
                <c:pt idx="657">
                  <c:v>1.6221472530816519</c:v>
                </c:pt>
                <c:pt idx="658">
                  <c:v>1.6218507720111801</c:v>
                </c:pt>
                <c:pt idx="659">
                  <c:v>1.6214394958729486</c:v>
                </c:pt>
                <c:pt idx="660">
                  <c:v>1.6208615938629685</c:v>
                </c:pt>
                <c:pt idx="661">
                  <c:v>1.6200381841499616</c:v>
                </c:pt>
                <c:pt idx="662">
                  <c:v>1.618847149899916</c:v>
                </c:pt>
                <c:pt idx="663">
                  <c:v>1.6174232162670699</c:v>
                </c:pt>
                <c:pt idx="664">
                  <c:v>1.6147814315371569</c:v>
                </c:pt>
                <c:pt idx="665">
                  <c:v>1.6110700710034453</c:v>
                </c:pt>
                <c:pt idx="666">
                  <c:v>1.6050861203813325</c:v>
                </c:pt>
                <c:pt idx="667">
                  <c:v>1.5957535654371753</c:v>
                </c:pt>
                <c:pt idx="668">
                  <c:v>1.5804022705989</c:v>
                </c:pt>
                <c:pt idx="669">
                  <c:v>1.5550046428476829</c:v>
                </c:pt>
                <c:pt idx="670">
                  <c:v>1.5113216663297317</c:v>
                </c:pt>
                <c:pt idx="671">
                  <c:v>1.4353463738558225</c:v>
                </c:pt>
                <c:pt idx="672">
                  <c:v>1.2982942358952569</c:v>
                </c:pt>
                <c:pt idx="673">
                  <c:v>1.0504620999024648</c:v>
                </c:pt>
                <c:pt idx="674">
                  <c:v>0.57991920634802341</c:v>
                </c:pt>
                <c:pt idx="675">
                  <c:v>0.48774768757985232</c:v>
                </c:pt>
              </c:numCache>
            </c:numRef>
          </c:xVal>
          <c:yVal>
            <c:numRef>
              <c:f>V_SG_1_V_SL_1!$AB$56:$AB$731</c:f>
              <c:numCache>
                <c:formatCode>General</c:formatCode>
                <c:ptCount val="676"/>
                <c:pt idx="0">
                  <c:v>0.98291280402450532</c:v>
                </c:pt>
                <c:pt idx="1">
                  <c:v>0.98291280402450532</c:v>
                </c:pt>
                <c:pt idx="2">
                  <c:v>0.93029680368287238</c:v>
                </c:pt>
                <c:pt idx="3">
                  <c:v>0.9263375056609463</c:v>
                </c:pt>
                <c:pt idx="4">
                  <c:v>0.92410350289481191</c:v>
                </c:pt>
                <c:pt idx="5">
                  <c:v>0.92246702056568797</c:v>
                </c:pt>
                <c:pt idx="6">
                  <c:v>0.92112545075286889</c:v>
                </c:pt>
                <c:pt idx="7">
                  <c:v>0.91996796940552472</c:v>
                </c:pt>
                <c:pt idx="8">
                  <c:v>0.91893925200966098</c:v>
                </c:pt>
                <c:pt idx="9">
                  <c:v>0.91800698533963754</c:v>
                </c:pt>
                <c:pt idx="10">
                  <c:v>0.91702734816235443</c:v>
                </c:pt>
                <c:pt idx="11">
                  <c:v>0.9159585801938982</c:v>
                </c:pt>
                <c:pt idx="12">
                  <c:v>0.91479625559011313</c:v>
                </c:pt>
                <c:pt idx="13">
                  <c:v>0.91353048339815646</c:v>
                </c:pt>
                <c:pt idx="14">
                  <c:v>0.91215088532597044</c:v>
                </c:pt>
                <c:pt idx="15">
                  <c:v>0.91064585001688003</c:v>
                </c:pt>
                <c:pt idx="16">
                  <c:v>0.90900246739993606</c:v>
                </c:pt>
                <c:pt idx="17">
                  <c:v>0.90720635607175415</c:v>
                </c:pt>
                <c:pt idx="18">
                  <c:v>0.90524147856173309</c:v>
                </c:pt>
                <c:pt idx="19">
                  <c:v>0.90308992791247966</c:v>
                </c:pt>
                <c:pt idx="20">
                  <c:v>0.90073168239924084</c:v>
                </c:pt>
                <c:pt idx="21">
                  <c:v>0.89814432232808461</c:v>
                </c:pt>
                <c:pt idx="22">
                  <c:v>0.89530270197348261</c:v>
                </c:pt>
                <c:pt idx="23">
                  <c:v>0.89217856822269714</c:v>
                </c:pt>
                <c:pt idx="24">
                  <c:v>0.88874011591112845</c:v>
                </c:pt>
                <c:pt idx="25">
                  <c:v>0.88495146788830703</c:v>
                </c:pt>
                <c:pt idx="26">
                  <c:v>0.88077206574924116</c:v>
                </c:pt>
                <c:pt idx="27">
                  <c:v>0.87615595477184927</c:v>
                </c:pt>
                <c:pt idx="28">
                  <c:v>0.87105094411999118</c:v>
                </c:pt>
                <c:pt idx="29">
                  <c:v>0.86539762083250626</c:v>
                </c:pt>
                <c:pt idx="30">
                  <c:v>0.8591281939956712</c:v>
                </c:pt>
                <c:pt idx="31">
                  <c:v>0.85216514411116695</c:v>
                </c:pt>
                <c:pt idx="32">
                  <c:v>0.84441965326912749</c:v>
                </c:pt>
                <c:pt idx="33">
                  <c:v>0.8357897958054098</c:v>
                </c:pt>
                <c:pt idx="34">
                  <c:v>0.82615847988380908</c:v>
                </c:pt>
                <c:pt idx="35">
                  <c:v>0.8153911530387663</c:v>
                </c:pt>
                <c:pt idx="36">
                  <c:v>0.80333332837909754</c:v>
                </c:pt>
                <c:pt idx="37">
                  <c:v>0.78980806865897468</c:v>
                </c:pt>
                <c:pt idx="38">
                  <c:v>0.77461508690290759</c:v>
                </c:pt>
                <c:pt idx="39">
                  <c:v>0.76038690457725777</c:v>
                </c:pt>
                <c:pt idx="40">
                  <c:v>0.74027333028292353</c:v>
                </c:pt>
                <c:pt idx="41">
                  <c:v>0.71945185286861368</c:v>
                </c:pt>
                <c:pt idx="42">
                  <c:v>0.69510299977692602</c:v>
                </c:pt>
                <c:pt idx="43">
                  <c:v>0.66827742889075359</c:v>
                </c:pt>
                <c:pt idx="44">
                  <c:v>0.63793671515432082</c:v>
                </c:pt>
                <c:pt idx="45">
                  <c:v>0.60451895949480172</c:v>
                </c:pt>
                <c:pt idx="46">
                  <c:v>0.56764407327826527</c:v>
                </c:pt>
                <c:pt idx="47">
                  <c:v>0.52819919103708846</c:v>
                </c:pt>
                <c:pt idx="48">
                  <c:v>0.48656332837244431</c:v>
                </c:pt>
                <c:pt idx="49">
                  <c:v>0.44490630075061705</c:v>
                </c:pt>
                <c:pt idx="50">
                  <c:v>0.40422770455153728</c:v>
                </c:pt>
                <c:pt idx="51">
                  <c:v>0.3988654244970895</c:v>
                </c:pt>
                <c:pt idx="52">
                  <c:v>0.98291280402450532</c:v>
                </c:pt>
                <c:pt idx="53">
                  <c:v>0.98291280402450532</c:v>
                </c:pt>
                <c:pt idx="54">
                  <c:v>0.93029680368287238</c:v>
                </c:pt>
                <c:pt idx="55">
                  <c:v>0.9263375056609463</c:v>
                </c:pt>
                <c:pt idx="56">
                  <c:v>0.92410350289481191</c:v>
                </c:pt>
                <c:pt idx="57">
                  <c:v>0.92246702056568797</c:v>
                </c:pt>
                <c:pt idx="58">
                  <c:v>0.92112545075286889</c:v>
                </c:pt>
                <c:pt idx="59">
                  <c:v>0.91996796940552472</c:v>
                </c:pt>
                <c:pt idx="60">
                  <c:v>0.91893925200966098</c:v>
                </c:pt>
                <c:pt idx="61">
                  <c:v>0.91800698533963754</c:v>
                </c:pt>
                <c:pt idx="62">
                  <c:v>0.91702734816235443</c:v>
                </c:pt>
                <c:pt idx="63">
                  <c:v>0.9159585801938982</c:v>
                </c:pt>
                <c:pt idx="64">
                  <c:v>0.91479625559011313</c:v>
                </c:pt>
                <c:pt idx="65">
                  <c:v>0.91353048339815646</c:v>
                </c:pt>
                <c:pt idx="66">
                  <c:v>0.91215088532597044</c:v>
                </c:pt>
                <c:pt idx="67">
                  <c:v>0.91064585001688003</c:v>
                </c:pt>
                <c:pt idx="68">
                  <c:v>0.90900246739993606</c:v>
                </c:pt>
                <c:pt idx="69">
                  <c:v>0.90720635607175415</c:v>
                </c:pt>
                <c:pt idx="70">
                  <c:v>0.90524147856173309</c:v>
                </c:pt>
                <c:pt idx="71">
                  <c:v>0.90308992791247966</c:v>
                </c:pt>
                <c:pt idx="72">
                  <c:v>0.90073168239924084</c:v>
                </c:pt>
                <c:pt idx="73">
                  <c:v>0.89814432232808461</c:v>
                </c:pt>
                <c:pt idx="74">
                  <c:v>0.89530270197348261</c:v>
                </c:pt>
                <c:pt idx="75">
                  <c:v>0.89217856822269714</c:v>
                </c:pt>
                <c:pt idx="76">
                  <c:v>0.88874011591112845</c:v>
                </c:pt>
                <c:pt idx="77">
                  <c:v>0.88495146788830703</c:v>
                </c:pt>
                <c:pt idx="78">
                  <c:v>0.88077206574924116</c:v>
                </c:pt>
                <c:pt idx="79">
                  <c:v>0.87615595477184927</c:v>
                </c:pt>
                <c:pt idx="80">
                  <c:v>0.87105094411999118</c:v>
                </c:pt>
                <c:pt idx="81">
                  <c:v>0.86539762083250626</c:v>
                </c:pt>
                <c:pt idx="82">
                  <c:v>0.8591281939956712</c:v>
                </c:pt>
                <c:pt idx="83">
                  <c:v>0.85216514411116695</c:v>
                </c:pt>
                <c:pt idx="84">
                  <c:v>0.84441965326912749</c:v>
                </c:pt>
                <c:pt idx="85">
                  <c:v>0.8357897958054098</c:v>
                </c:pt>
                <c:pt idx="86">
                  <c:v>0.82615847988380908</c:v>
                </c:pt>
                <c:pt idx="87">
                  <c:v>0.8153911530387663</c:v>
                </c:pt>
                <c:pt idx="88">
                  <c:v>0.80333332837909754</c:v>
                </c:pt>
                <c:pt idx="89">
                  <c:v>0.78980806865897468</c:v>
                </c:pt>
                <c:pt idx="90">
                  <c:v>0.77461508690290759</c:v>
                </c:pt>
                <c:pt idx="91">
                  <c:v>0.76038690457725777</c:v>
                </c:pt>
                <c:pt idx="92">
                  <c:v>0.74027333028292353</c:v>
                </c:pt>
                <c:pt idx="93">
                  <c:v>0.71945185286861368</c:v>
                </c:pt>
                <c:pt idx="94">
                  <c:v>0.69510299977692602</c:v>
                </c:pt>
                <c:pt idx="95">
                  <c:v>0.66827742889075359</c:v>
                </c:pt>
                <c:pt idx="96">
                  <c:v>0.63793671515432082</c:v>
                </c:pt>
                <c:pt idx="97">
                  <c:v>0.60451895949480172</c:v>
                </c:pt>
                <c:pt idx="98">
                  <c:v>0.56764407327826527</c:v>
                </c:pt>
                <c:pt idx="99">
                  <c:v>0.52819919103708846</c:v>
                </c:pt>
                <c:pt idx="100">
                  <c:v>0.48656332837244431</c:v>
                </c:pt>
                <c:pt idx="101">
                  <c:v>0.44490630075061705</c:v>
                </c:pt>
                <c:pt idx="102">
                  <c:v>0.40422770455153728</c:v>
                </c:pt>
                <c:pt idx="103">
                  <c:v>0.3988654244970895</c:v>
                </c:pt>
                <c:pt idx="104">
                  <c:v>0.98291280402450532</c:v>
                </c:pt>
                <c:pt idx="105">
                  <c:v>0.98291280402450532</c:v>
                </c:pt>
                <c:pt idx="106">
                  <c:v>0.93029680368287238</c:v>
                </c:pt>
                <c:pt idx="107">
                  <c:v>0.9263375056609463</c:v>
                </c:pt>
                <c:pt idx="108">
                  <c:v>0.92410350289481191</c:v>
                </c:pt>
                <c:pt idx="109">
                  <c:v>0.92246702056568797</c:v>
                </c:pt>
                <c:pt idx="110">
                  <c:v>0.92112545075286889</c:v>
                </c:pt>
                <c:pt idx="111">
                  <c:v>0.91996796940552472</c:v>
                </c:pt>
                <c:pt idx="112">
                  <c:v>0.91893925200966098</c:v>
                </c:pt>
                <c:pt idx="113">
                  <c:v>0.91800698533963754</c:v>
                </c:pt>
                <c:pt idx="114">
                  <c:v>0.91702734816235443</c:v>
                </c:pt>
                <c:pt idx="115">
                  <c:v>0.9159585801938982</c:v>
                </c:pt>
                <c:pt idx="116">
                  <c:v>0.91479625559011313</c:v>
                </c:pt>
                <c:pt idx="117">
                  <c:v>0.91353048339815646</c:v>
                </c:pt>
                <c:pt idx="118">
                  <c:v>0.91215088532597044</c:v>
                </c:pt>
                <c:pt idx="119">
                  <c:v>0.91064585001688003</c:v>
                </c:pt>
                <c:pt idx="120">
                  <c:v>0.90900246739993606</c:v>
                </c:pt>
                <c:pt idx="121">
                  <c:v>0.90720635607175415</c:v>
                </c:pt>
                <c:pt idx="122">
                  <c:v>0.90524147856173309</c:v>
                </c:pt>
                <c:pt idx="123">
                  <c:v>0.90308992791247966</c:v>
                </c:pt>
                <c:pt idx="124">
                  <c:v>0.90073168239924084</c:v>
                </c:pt>
                <c:pt idx="125">
                  <c:v>0.89814432232808461</c:v>
                </c:pt>
                <c:pt idx="126">
                  <c:v>0.89530270197348261</c:v>
                </c:pt>
                <c:pt idx="127">
                  <c:v>0.89217856822269714</c:v>
                </c:pt>
                <c:pt idx="128">
                  <c:v>0.88874011591112845</c:v>
                </c:pt>
                <c:pt idx="129">
                  <c:v>0.88495146788830703</c:v>
                </c:pt>
                <c:pt idx="130">
                  <c:v>0.88077206574924116</c:v>
                </c:pt>
                <c:pt idx="131">
                  <c:v>0.87615595477184927</c:v>
                </c:pt>
                <c:pt idx="132">
                  <c:v>0.87105094411999118</c:v>
                </c:pt>
                <c:pt idx="133">
                  <c:v>0.86539762083250626</c:v>
                </c:pt>
                <c:pt idx="134">
                  <c:v>0.8591281939956712</c:v>
                </c:pt>
                <c:pt idx="135">
                  <c:v>0.85216514411116695</c:v>
                </c:pt>
                <c:pt idx="136">
                  <c:v>0.84441965326912749</c:v>
                </c:pt>
                <c:pt idx="137">
                  <c:v>0.8357897958054098</c:v>
                </c:pt>
                <c:pt idx="138">
                  <c:v>0.82615847988380908</c:v>
                </c:pt>
                <c:pt idx="139">
                  <c:v>0.8153911530387663</c:v>
                </c:pt>
                <c:pt idx="140">
                  <c:v>0.80333332837909754</c:v>
                </c:pt>
                <c:pt idx="141">
                  <c:v>0.78980806865897468</c:v>
                </c:pt>
                <c:pt idx="142">
                  <c:v>0.77461508690290759</c:v>
                </c:pt>
                <c:pt idx="143">
                  <c:v>0.76038690457725777</c:v>
                </c:pt>
                <c:pt idx="144">
                  <c:v>0.74027333028292353</c:v>
                </c:pt>
                <c:pt idx="145">
                  <c:v>0.71945185286861368</c:v>
                </c:pt>
                <c:pt idx="146">
                  <c:v>0.69510299977692602</c:v>
                </c:pt>
                <c:pt idx="147">
                  <c:v>0.66827742889075359</c:v>
                </c:pt>
                <c:pt idx="148">
                  <c:v>0.63793671515432082</c:v>
                </c:pt>
                <c:pt idx="149">
                  <c:v>0.60451895949480172</c:v>
                </c:pt>
                <c:pt idx="150">
                  <c:v>0.56764407327826527</c:v>
                </c:pt>
                <c:pt idx="151">
                  <c:v>0.52819919103708846</c:v>
                </c:pt>
                <c:pt idx="152">
                  <c:v>0.48656332837244431</c:v>
                </c:pt>
                <c:pt idx="153">
                  <c:v>0.44490630075061705</c:v>
                </c:pt>
                <c:pt idx="154">
                  <c:v>0.40422770455153728</c:v>
                </c:pt>
                <c:pt idx="155">
                  <c:v>0.3988654244970895</c:v>
                </c:pt>
                <c:pt idx="156">
                  <c:v>0.98291280402450532</c:v>
                </c:pt>
                <c:pt idx="157">
                  <c:v>0.98291280402450532</c:v>
                </c:pt>
                <c:pt idx="158">
                  <c:v>0.93029680368287238</c:v>
                </c:pt>
                <c:pt idx="159">
                  <c:v>0.9263375056609463</c:v>
                </c:pt>
                <c:pt idx="160">
                  <c:v>0.92410350289481191</c:v>
                </c:pt>
                <c:pt idx="161">
                  <c:v>0.92246702056568797</c:v>
                </c:pt>
                <c:pt idx="162">
                  <c:v>0.92112545075286889</c:v>
                </c:pt>
                <c:pt idx="163">
                  <c:v>0.91996796940552472</c:v>
                </c:pt>
                <c:pt idx="164">
                  <c:v>0.91893925200966098</c:v>
                </c:pt>
                <c:pt idx="165">
                  <c:v>0.91800698533963754</c:v>
                </c:pt>
                <c:pt idx="166">
                  <c:v>0.91702734816235443</c:v>
                </c:pt>
                <c:pt idx="167">
                  <c:v>0.9159585801938982</c:v>
                </c:pt>
                <c:pt idx="168">
                  <c:v>0.91479625559011313</c:v>
                </c:pt>
                <c:pt idx="169">
                  <c:v>0.91353048339815646</c:v>
                </c:pt>
                <c:pt idx="170">
                  <c:v>0.91215088532597044</c:v>
                </c:pt>
                <c:pt idx="171">
                  <c:v>0.91064585001688003</c:v>
                </c:pt>
                <c:pt idx="172">
                  <c:v>0.90900246739993606</c:v>
                </c:pt>
                <c:pt idx="173">
                  <c:v>0.90720635607175415</c:v>
                </c:pt>
                <c:pt idx="174">
                  <c:v>0.90524147856173309</c:v>
                </c:pt>
                <c:pt idx="175">
                  <c:v>0.90308992791247966</c:v>
                </c:pt>
                <c:pt idx="176">
                  <c:v>0.90073168239924084</c:v>
                </c:pt>
                <c:pt idx="177">
                  <c:v>0.89814432232808461</c:v>
                </c:pt>
                <c:pt idx="178">
                  <c:v>0.89530270197348261</c:v>
                </c:pt>
                <c:pt idx="179">
                  <c:v>0.89217856822269714</c:v>
                </c:pt>
                <c:pt idx="180">
                  <c:v>0.88874011591112845</c:v>
                </c:pt>
                <c:pt idx="181">
                  <c:v>0.88495146788830703</c:v>
                </c:pt>
                <c:pt idx="182">
                  <c:v>0.88077206574924116</c:v>
                </c:pt>
                <c:pt idx="183">
                  <c:v>0.87615595477184927</c:v>
                </c:pt>
                <c:pt idx="184">
                  <c:v>0.87105094411999118</c:v>
                </c:pt>
                <c:pt idx="185">
                  <c:v>0.86539762083250626</c:v>
                </c:pt>
                <c:pt idx="186">
                  <c:v>0.8591281939956712</c:v>
                </c:pt>
                <c:pt idx="187">
                  <c:v>0.85216514411116695</c:v>
                </c:pt>
                <c:pt idx="188">
                  <c:v>0.84441965326912749</c:v>
                </c:pt>
                <c:pt idx="189">
                  <c:v>0.8357897958054098</c:v>
                </c:pt>
                <c:pt idx="190">
                  <c:v>0.82615847988380908</c:v>
                </c:pt>
                <c:pt idx="191">
                  <c:v>0.8153911530387663</c:v>
                </c:pt>
                <c:pt idx="192">
                  <c:v>0.80333332837909754</c:v>
                </c:pt>
                <c:pt idx="193">
                  <c:v>0.78980806865897468</c:v>
                </c:pt>
                <c:pt idx="194">
                  <c:v>0.77461508690290759</c:v>
                </c:pt>
                <c:pt idx="195">
                  <c:v>0.76038690457725777</c:v>
                </c:pt>
                <c:pt idx="196">
                  <c:v>0.74027333028292353</c:v>
                </c:pt>
                <c:pt idx="197">
                  <c:v>0.71945185286861368</c:v>
                </c:pt>
                <c:pt idx="198">
                  <c:v>0.69510299977692602</c:v>
                </c:pt>
                <c:pt idx="199">
                  <c:v>0.66827742889075359</c:v>
                </c:pt>
                <c:pt idx="200">
                  <c:v>0.63793671515432082</c:v>
                </c:pt>
                <c:pt idx="201">
                  <c:v>0.60451895949480172</c:v>
                </c:pt>
                <c:pt idx="202">
                  <c:v>0.56764407327826527</c:v>
                </c:pt>
                <c:pt idx="203">
                  <c:v>0.52819919103708846</c:v>
                </c:pt>
                <c:pt idx="204">
                  <c:v>0.48656332837244431</c:v>
                </c:pt>
                <c:pt idx="205">
                  <c:v>0.44490630075061705</c:v>
                </c:pt>
                <c:pt idx="206">
                  <c:v>0.40422770455153728</c:v>
                </c:pt>
                <c:pt idx="207">
                  <c:v>0.3988654244970895</c:v>
                </c:pt>
                <c:pt idx="208">
                  <c:v>0.98291280402450532</c:v>
                </c:pt>
                <c:pt idx="209">
                  <c:v>0.98291280402450532</c:v>
                </c:pt>
                <c:pt idx="210">
                  <c:v>0.93029680368287238</c:v>
                </c:pt>
                <c:pt idx="211">
                  <c:v>0.9263375056609463</c:v>
                </c:pt>
                <c:pt idx="212">
                  <c:v>0.92410350289481191</c:v>
                </c:pt>
                <c:pt idx="213">
                  <c:v>0.92246702056568797</c:v>
                </c:pt>
                <c:pt idx="214">
                  <c:v>0.92112545075286889</c:v>
                </c:pt>
                <c:pt idx="215">
                  <c:v>0.91996796940552472</c:v>
                </c:pt>
                <c:pt idx="216">
                  <c:v>0.91893925200966098</c:v>
                </c:pt>
                <c:pt idx="217">
                  <c:v>0.91800698533963754</c:v>
                </c:pt>
                <c:pt idx="218">
                  <c:v>0.91702734816235443</c:v>
                </c:pt>
                <c:pt idx="219">
                  <c:v>0.9159585801938982</c:v>
                </c:pt>
                <c:pt idx="220">
                  <c:v>0.91479625559011313</c:v>
                </c:pt>
                <c:pt idx="221">
                  <c:v>0.91353048339815646</c:v>
                </c:pt>
                <c:pt idx="222">
                  <c:v>0.91215088532597044</c:v>
                </c:pt>
                <c:pt idx="223">
                  <c:v>0.91064585001688003</c:v>
                </c:pt>
                <c:pt idx="224">
                  <c:v>0.90900246739993606</c:v>
                </c:pt>
                <c:pt idx="225">
                  <c:v>0.90720635607175415</c:v>
                </c:pt>
                <c:pt idx="226">
                  <c:v>0.90524147856173309</c:v>
                </c:pt>
                <c:pt idx="227">
                  <c:v>0.90308992791247966</c:v>
                </c:pt>
                <c:pt idx="228">
                  <c:v>0.90073168239924084</c:v>
                </c:pt>
                <c:pt idx="229">
                  <c:v>0.89814432232808461</c:v>
                </c:pt>
                <c:pt idx="230">
                  <c:v>0.89530270197348261</c:v>
                </c:pt>
                <c:pt idx="231">
                  <c:v>0.89217856822269714</c:v>
                </c:pt>
                <c:pt idx="232">
                  <c:v>0.88874011591112845</c:v>
                </c:pt>
                <c:pt idx="233">
                  <c:v>0.88495146788830703</c:v>
                </c:pt>
                <c:pt idx="234">
                  <c:v>0.88077206574924116</c:v>
                </c:pt>
                <c:pt idx="235">
                  <c:v>0.87615595477184927</c:v>
                </c:pt>
                <c:pt idx="236">
                  <c:v>0.87105094411999118</c:v>
                </c:pt>
                <c:pt idx="237">
                  <c:v>0.86539762083250626</c:v>
                </c:pt>
                <c:pt idx="238">
                  <c:v>0.8591281939956712</c:v>
                </c:pt>
                <c:pt idx="239">
                  <c:v>0.85216514411116695</c:v>
                </c:pt>
                <c:pt idx="240">
                  <c:v>0.84441965326912749</c:v>
                </c:pt>
                <c:pt idx="241">
                  <c:v>0.8357897958054098</c:v>
                </c:pt>
                <c:pt idx="242">
                  <c:v>0.82615847988380908</c:v>
                </c:pt>
                <c:pt idx="243">
                  <c:v>0.8153911530387663</c:v>
                </c:pt>
                <c:pt idx="244">
                  <c:v>0.80333332837909754</c:v>
                </c:pt>
                <c:pt idx="245">
                  <c:v>0.78980806865897468</c:v>
                </c:pt>
                <c:pt idx="246">
                  <c:v>0.77461508690290759</c:v>
                </c:pt>
                <c:pt idx="247">
                  <c:v>0.76038690457725777</c:v>
                </c:pt>
                <c:pt idx="248">
                  <c:v>0.74027333028292353</c:v>
                </c:pt>
                <c:pt idx="249">
                  <c:v>0.71945185286861368</c:v>
                </c:pt>
                <c:pt idx="250">
                  <c:v>0.69510299977692602</c:v>
                </c:pt>
                <c:pt idx="251">
                  <c:v>0.66827742889075359</c:v>
                </c:pt>
                <c:pt idx="252">
                  <c:v>0.63793671515432082</c:v>
                </c:pt>
                <c:pt idx="253">
                  <c:v>0.60451895949480172</c:v>
                </c:pt>
                <c:pt idx="254">
                  <c:v>0.56764407327826527</c:v>
                </c:pt>
                <c:pt idx="255">
                  <c:v>0.52819919103708846</c:v>
                </c:pt>
                <c:pt idx="256">
                  <c:v>0.48656332837244431</c:v>
                </c:pt>
                <c:pt idx="257">
                  <c:v>0.44490630075061705</c:v>
                </c:pt>
                <c:pt idx="258">
                  <c:v>0.40422770455153728</c:v>
                </c:pt>
                <c:pt idx="259">
                  <c:v>0.3988654244970895</c:v>
                </c:pt>
                <c:pt idx="260">
                  <c:v>0.98291280402450532</c:v>
                </c:pt>
                <c:pt idx="261">
                  <c:v>0.98291280402450532</c:v>
                </c:pt>
                <c:pt idx="262">
                  <c:v>0.93029680368287238</c:v>
                </c:pt>
                <c:pt idx="263">
                  <c:v>0.9263375056609463</c:v>
                </c:pt>
                <c:pt idx="264">
                  <c:v>0.92410350289481191</c:v>
                </c:pt>
                <c:pt idx="265">
                  <c:v>0.92246702056568797</c:v>
                </c:pt>
                <c:pt idx="266">
                  <c:v>0.92112545075286889</c:v>
                </c:pt>
                <c:pt idx="267">
                  <c:v>0.91996796940552472</c:v>
                </c:pt>
                <c:pt idx="268">
                  <c:v>0.91893925200966098</c:v>
                </c:pt>
                <c:pt idx="269">
                  <c:v>0.91800698533963754</c:v>
                </c:pt>
                <c:pt idx="270">
                  <c:v>0.91702734816235443</c:v>
                </c:pt>
                <c:pt idx="271">
                  <c:v>0.9159585801938982</c:v>
                </c:pt>
                <c:pt idx="272">
                  <c:v>0.91479625559011313</c:v>
                </c:pt>
                <c:pt idx="273">
                  <c:v>0.91353048339815646</c:v>
                </c:pt>
                <c:pt idx="274">
                  <c:v>0.91215088532597044</c:v>
                </c:pt>
                <c:pt idx="275">
                  <c:v>0.91064585001688003</c:v>
                </c:pt>
                <c:pt idx="276">
                  <c:v>0.90900246739993606</c:v>
                </c:pt>
                <c:pt idx="277">
                  <c:v>0.90720635607175415</c:v>
                </c:pt>
                <c:pt idx="278">
                  <c:v>0.90524147856173309</c:v>
                </c:pt>
                <c:pt idx="279">
                  <c:v>0.90308992791247966</c:v>
                </c:pt>
                <c:pt idx="280">
                  <c:v>0.90073168239924084</c:v>
                </c:pt>
                <c:pt idx="281">
                  <c:v>0.89814432232808461</c:v>
                </c:pt>
                <c:pt idx="282">
                  <c:v>0.89530270197348261</c:v>
                </c:pt>
                <c:pt idx="283">
                  <c:v>0.89217856822269714</c:v>
                </c:pt>
                <c:pt idx="284">
                  <c:v>0.88874011591112845</c:v>
                </c:pt>
                <c:pt idx="285">
                  <c:v>0.88495146788830703</c:v>
                </c:pt>
                <c:pt idx="286">
                  <c:v>0.88077206574924116</c:v>
                </c:pt>
                <c:pt idx="287">
                  <c:v>0.87615595477184927</c:v>
                </c:pt>
                <c:pt idx="288">
                  <c:v>0.87105094411999118</c:v>
                </c:pt>
                <c:pt idx="289">
                  <c:v>0.86539762083250626</c:v>
                </c:pt>
                <c:pt idx="290">
                  <c:v>0.8591281939956712</c:v>
                </c:pt>
                <c:pt idx="291">
                  <c:v>0.85216514411116695</c:v>
                </c:pt>
                <c:pt idx="292">
                  <c:v>0.84441965326912749</c:v>
                </c:pt>
                <c:pt idx="293">
                  <c:v>0.8357897958054098</c:v>
                </c:pt>
                <c:pt idx="294">
                  <c:v>0.82615847988380908</c:v>
                </c:pt>
                <c:pt idx="295">
                  <c:v>0.8153911530387663</c:v>
                </c:pt>
                <c:pt idx="296">
                  <c:v>0.80333332837909754</c:v>
                </c:pt>
                <c:pt idx="297">
                  <c:v>0.78980806865897468</c:v>
                </c:pt>
                <c:pt idx="298">
                  <c:v>0.77461508690290759</c:v>
                </c:pt>
                <c:pt idx="299">
                  <c:v>0.76038690457725777</c:v>
                </c:pt>
                <c:pt idx="300">
                  <c:v>0.74027333028292353</c:v>
                </c:pt>
                <c:pt idx="301">
                  <c:v>0.71945185286861368</c:v>
                </c:pt>
                <c:pt idx="302">
                  <c:v>0.69510299977692602</c:v>
                </c:pt>
                <c:pt idx="303">
                  <c:v>0.66827742889075359</c:v>
                </c:pt>
                <c:pt idx="304">
                  <c:v>0.63793671515432082</c:v>
                </c:pt>
                <c:pt idx="305">
                  <c:v>0.60451895949480172</c:v>
                </c:pt>
                <c:pt idx="306">
                  <c:v>0.56764407327826527</c:v>
                </c:pt>
                <c:pt idx="307">
                  <c:v>0.52819919103708846</c:v>
                </c:pt>
                <c:pt idx="308">
                  <c:v>0.48656332837244431</c:v>
                </c:pt>
                <c:pt idx="309">
                  <c:v>0.44490630075061705</c:v>
                </c:pt>
                <c:pt idx="310">
                  <c:v>0.40422770455153728</c:v>
                </c:pt>
                <c:pt idx="311">
                  <c:v>0.3988654244970895</c:v>
                </c:pt>
                <c:pt idx="312">
                  <c:v>0.98291280402450532</c:v>
                </c:pt>
                <c:pt idx="313">
                  <c:v>0.98291280402450532</c:v>
                </c:pt>
                <c:pt idx="314">
                  <c:v>0.93029680368287238</c:v>
                </c:pt>
                <c:pt idx="315">
                  <c:v>0.9263375056609463</c:v>
                </c:pt>
                <c:pt idx="316">
                  <c:v>0.92410350289481191</c:v>
                </c:pt>
                <c:pt idx="317">
                  <c:v>0.92246702056568797</c:v>
                </c:pt>
                <c:pt idx="318">
                  <c:v>0.92112545075286889</c:v>
                </c:pt>
                <c:pt idx="319">
                  <c:v>0.91996796940552472</c:v>
                </c:pt>
                <c:pt idx="320">
                  <c:v>0.91893925200966098</c:v>
                </c:pt>
                <c:pt idx="321">
                  <c:v>0.91800698533963754</c:v>
                </c:pt>
                <c:pt idx="322">
                  <c:v>0.91702734816235443</c:v>
                </c:pt>
                <c:pt idx="323">
                  <c:v>0.9159585801938982</c:v>
                </c:pt>
                <c:pt idx="324">
                  <c:v>0.91479625559011313</c:v>
                </c:pt>
                <c:pt idx="325">
                  <c:v>0.91353048339815646</c:v>
                </c:pt>
                <c:pt idx="326">
                  <c:v>0.91215088532597044</c:v>
                </c:pt>
                <c:pt idx="327">
                  <c:v>0.91064585001688003</c:v>
                </c:pt>
                <c:pt idx="328">
                  <c:v>0.90900246739993606</c:v>
                </c:pt>
                <c:pt idx="329">
                  <c:v>0.90720635607175415</c:v>
                </c:pt>
                <c:pt idx="330">
                  <c:v>0.90524147856173309</c:v>
                </c:pt>
                <c:pt idx="331">
                  <c:v>0.90308992791247966</c:v>
                </c:pt>
                <c:pt idx="332">
                  <c:v>0.90073168239924084</c:v>
                </c:pt>
                <c:pt idx="333">
                  <c:v>0.89814432232808461</c:v>
                </c:pt>
                <c:pt idx="334">
                  <c:v>0.89530270197348261</c:v>
                </c:pt>
                <c:pt idx="335">
                  <c:v>0.89217856822269714</c:v>
                </c:pt>
                <c:pt idx="336">
                  <c:v>0.88874011591112845</c:v>
                </c:pt>
                <c:pt idx="337">
                  <c:v>0.88495146788830703</c:v>
                </c:pt>
                <c:pt idx="338">
                  <c:v>0.88077206574924116</c:v>
                </c:pt>
                <c:pt idx="339">
                  <c:v>0.87615595477184927</c:v>
                </c:pt>
                <c:pt idx="340">
                  <c:v>0.87105094411999118</c:v>
                </c:pt>
                <c:pt idx="341">
                  <c:v>0.86539762083250626</c:v>
                </c:pt>
                <c:pt idx="342">
                  <c:v>0.8591281939956712</c:v>
                </c:pt>
                <c:pt idx="343">
                  <c:v>0.85216514411116695</c:v>
                </c:pt>
                <c:pt idx="344">
                  <c:v>0.84441965326912749</c:v>
                </c:pt>
                <c:pt idx="345">
                  <c:v>0.8357897958054098</c:v>
                </c:pt>
                <c:pt idx="346">
                  <c:v>0.82615847988380908</c:v>
                </c:pt>
                <c:pt idx="347">
                  <c:v>0.8153911530387663</c:v>
                </c:pt>
                <c:pt idx="348">
                  <c:v>0.80333332837909754</c:v>
                </c:pt>
                <c:pt idx="349">
                  <c:v>0.78980806865897468</c:v>
                </c:pt>
                <c:pt idx="350">
                  <c:v>0.77461508690290759</c:v>
                </c:pt>
                <c:pt idx="351">
                  <c:v>0.76038690457725777</c:v>
                </c:pt>
                <c:pt idx="352">
                  <c:v>0.74027333028292353</c:v>
                </c:pt>
                <c:pt idx="353">
                  <c:v>0.71945185286861368</c:v>
                </c:pt>
                <c:pt idx="354">
                  <c:v>0.69510299977692602</c:v>
                </c:pt>
                <c:pt idx="355">
                  <c:v>0.66827742889075359</c:v>
                </c:pt>
                <c:pt idx="356">
                  <c:v>0.63793671515432082</c:v>
                </c:pt>
                <c:pt idx="357">
                  <c:v>0.60451895949480172</c:v>
                </c:pt>
                <c:pt idx="358">
                  <c:v>0.56764407327826527</c:v>
                </c:pt>
                <c:pt idx="359">
                  <c:v>0.52819919103708846</c:v>
                </c:pt>
                <c:pt idx="360">
                  <c:v>0.48656332837244431</c:v>
                </c:pt>
                <c:pt idx="361">
                  <c:v>0.44490630075061705</c:v>
                </c:pt>
                <c:pt idx="362">
                  <c:v>0.40422770455153728</c:v>
                </c:pt>
                <c:pt idx="363">
                  <c:v>0.3988654244970895</c:v>
                </c:pt>
                <c:pt idx="364">
                  <c:v>0.98291280402450532</c:v>
                </c:pt>
                <c:pt idx="365">
                  <c:v>0.98291280402450532</c:v>
                </c:pt>
                <c:pt idx="366">
                  <c:v>0.93029680368287238</c:v>
                </c:pt>
                <c:pt idx="367">
                  <c:v>0.9263375056609463</c:v>
                </c:pt>
                <c:pt idx="368">
                  <c:v>0.92410350289481191</c:v>
                </c:pt>
                <c:pt idx="369">
                  <c:v>0.92246702056568797</c:v>
                </c:pt>
                <c:pt idx="370">
                  <c:v>0.92112545075286889</c:v>
                </c:pt>
                <c:pt idx="371">
                  <c:v>0.91996796940552472</c:v>
                </c:pt>
                <c:pt idx="372">
                  <c:v>0.91893925200966098</c:v>
                </c:pt>
                <c:pt idx="373">
                  <c:v>0.91800698533963754</c:v>
                </c:pt>
                <c:pt idx="374">
                  <c:v>0.91702734816235443</c:v>
                </c:pt>
                <c:pt idx="375">
                  <c:v>0.9159585801938982</c:v>
                </c:pt>
                <c:pt idx="376">
                  <c:v>0.91479625559011313</c:v>
                </c:pt>
                <c:pt idx="377">
                  <c:v>0.91353048339815646</c:v>
                </c:pt>
                <c:pt idx="378">
                  <c:v>0.91215088532597044</c:v>
                </c:pt>
                <c:pt idx="379">
                  <c:v>0.91064585001688003</c:v>
                </c:pt>
                <c:pt idx="380">
                  <c:v>0.90900246739993606</c:v>
                </c:pt>
                <c:pt idx="381">
                  <c:v>0.90720635607175415</c:v>
                </c:pt>
                <c:pt idx="382">
                  <c:v>0.90524147856173309</c:v>
                </c:pt>
                <c:pt idx="383">
                  <c:v>0.90308992791247966</c:v>
                </c:pt>
                <c:pt idx="384">
                  <c:v>0.90073168239924084</c:v>
                </c:pt>
                <c:pt idx="385">
                  <c:v>0.89814432232808461</c:v>
                </c:pt>
                <c:pt idx="386">
                  <c:v>0.89530270197348261</c:v>
                </c:pt>
                <c:pt idx="387">
                  <c:v>0.89217856822269714</c:v>
                </c:pt>
                <c:pt idx="388">
                  <c:v>0.88874011591112845</c:v>
                </c:pt>
                <c:pt idx="389">
                  <c:v>0.88495146788830703</c:v>
                </c:pt>
                <c:pt idx="390">
                  <c:v>0.88077206574924116</c:v>
                </c:pt>
                <c:pt idx="391">
                  <c:v>0.87615595477184927</c:v>
                </c:pt>
                <c:pt idx="392">
                  <c:v>0.87105094411999118</c:v>
                </c:pt>
                <c:pt idx="393">
                  <c:v>0.86539762083250626</c:v>
                </c:pt>
                <c:pt idx="394">
                  <c:v>0.8591281939956712</c:v>
                </c:pt>
                <c:pt idx="395">
                  <c:v>0.85216514411116695</c:v>
                </c:pt>
                <c:pt idx="396">
                  <c:v>0.84441965326912749</c:v>
                </c:pt>
                <c:pt idx="397">
                  <c:v>0.8357897958054098</c:v>
                </c:pt>
                <c:pt idx="398">
                  <c:v>0.82615847988380908</c:v>
                </c:pt>
                <c:pt idx="399">
                  <c:v>0.8153911530387663</c:v>
                </c:pt>
                <c:pt idx="400">
                  <c:v>0.80333332837909754</c:v>
                </c:pt>
                <c:pt idx="401">
                  <c:v>0.78980806865897468</c:v>
                </c:pt>
                <c:pt idx="402">
                  <c:v>0.77461508690290759</c:v>
                </c:pt>
                <c:pt idx="403">
                  <c:v>0.76038690457725777</c:v>
                </c:pt>
                <c:pt idx="404">
                  <c:v>0.74027333028292353</c:v>
                </c:pt>
                <c:pt idx="405">
                  <c:v>0.71945185286861368</c:v>
                </c:pt>
                <c:pt idx="406">
                  <c:v>0.69510299977692602</c:v>
                </c:pt>
                <c:pt idx="407">
                  <c:v>0.66827742889075359</c:v>
                </c:pt>
                <c:pt idx="408">
                  <c:v>0.63793671515432082</c:v>
                </c:pt>
                <c:pt idx="409">
                  <c:v>0.60451895949480172</c:v>
                </c:pt>
                <c:pt idx="410">
                  <c:v>0.56764407327826527</c:v>
                </c:pt>
                <c:pt idx="411">
                  <c:v>0.52819919103708846</c:v>
                </c:pt>
                <c:pt idx="412">
                  <c:v>0.48656332837244431</c:v>
                </c:pt>
                <c:pt idx="413">
                  <c:v>0.44490630075061705</c:v>
                </c:pt>
                <c:pt idx="414">
                  <c:v>0.40422770455153728</c:v>
                </c:pt>
                <c:pt idx="415">
                  <c:v>0.3988654244970895</c:v>
                </c:pt>
                <c:pt idx="416">
                  <c:v>0.98291280402450532</c:v>
                </c:pt>
                <c:pt idx="417">
                  <c:v>0.98291280402450532</c:v>
                </c:pt>
                <c:pt idx="418">
                  <c:v>0.93029680368287238</c:v>
                </c:pt>
                <c:pt idx="419">
                  <c:v>0.9263375056609463</c:v>
                </c:pt>
                <c:pt idx="420">
                  <c:v>0.92410350289481191</c:v>
                </c:pt>
                <c:pt idx="421">
                  <c:v>0.92246702056568797</c:v>
                </c:pt>
                <c:pt idx="422">
                  <c:v>0.92112545075286889</c:v>
                </c:pt>
                <c:pt idx="423">
                  <c:v>0.91996796940552472</c:v>
                </c:pt>
                <c:pt idx="424">
                  <c:v>0.91893925200966098</c:v>
                </c:pt>
                <c:pt idx="425">
                  <c:v>0.91800698533963754</c:v>
                </c:pt>
                <c:pt idx="426">
                  <c:v>0.91702734816235443</c:v>
                </c:pt>
                <c:pt idx="427">
                  <c:v>0.9159585801938982</c:v>
                </c:pt>
                <c:pt idx="428">
                  <c:v>0.91479625559011313</c:v>
                </c:pt>
                <c:pt idx="429">
                  <c:v>0.91353048339815646</c:v>
                </c:pt>
                <c:pt idx="430">
                  <c:v>0.91215088532597044</c:v>
                </c:pt>
                <c:pt idx="431">
                  <c:v>0.91064585001688003</c:v>
                </c:pt>
                <c:pt idx="432">
                  <c:v>0.90900246739993606</c:v>
                </c:pt>
                <c:pt idx="433">
                  <c:v>0.90720635607175415</c:v>
                </c:pt>
                <c:pt idx="434">
                  <c:v>0.90524147856173309</c:v>
                </c:pt>
                <c:pt idx="435">
                  <c:v>0.90308992791247966</c:v>
                </c:pt>
                <c:pt idx="436">
                  <c:v>0.90073168239924084</c:v>
                </c:pt>
                <c:pt idx="437">
                  <c:v>0.89814432232808461</c:v>
                </c:pt>
                <c:pt idx="438">
                  <c:v>0.89530270197348261</c:v>
                </c:pt>
                <c:pt idx="439">
                  <c:v>0.89217856822269714</c:v>
                </c:pt>
                <c:pt idx="440">
                  <c:v>0.88874011591112845</c:v>
                </c:pt>
                <c:pt idx="441">
                  <c:v>0.88495146788830703</c:v>
                </c:pt>
                <c:pt idx="442">
                  <c:v>0.88077206574924116</c:v>
                </c:pt>
                <c:pt idx="443">
                  <c:v>0.87615595477184927</c:v>
                </c:pt>
                <c:pt idx="444">
                  <c:v>0.87105094411999118</c:v>
                </c:pt>
                <c:pt idx="445">
                  <c:v>0.86539762083250626</c:v>
                </c:pt>
                <c:pt idx="446">
                  <c:v>0.8591281939956712</c:v>
                </c:pt>
                <c:pt idx="447">
                  <c:v>0.85216514411116695</c:v>
                </c:pt>
                <c:pt idx="448">
                  <c:v>0.84441965326912749</c:v>
                </c:pt>
                <c:pt idx="449">
                  <c:v>0.8357897958054098</c:v>
                </c:pt>
                <c:pt idx="450">
                  <c:v>0.82615847988380908</c:v>
                </c:pt>
                <c:pt idx="451">
                  <c:v>0.8153911530387663</c:v>
                </c:pt>
                <c:pt idx="452">
                  <c:v>0.80333332837909754</c:v>
                </c:pt>
                <c:pt idx="453">
                  <c:v>0.78980806865897468</c:v>
                </c:pt>
                <c:pt idx="454">
                  <c:v>0.77461508690290759</c:v>
                </c:pt>
                <c:pt idx="455">
                  <c:v>0.76038690457725777</c:v>
                </c:pt>
                <c:pt idx="456">
                  <c:v>0.74027333028292353</c:v>
                </c:pt>
                <c:pt idx="457">
                  <c:v>0.71945185286861368</c:v>
                </c:pt>
                <c:pt idx="458">
                  <c:v>0.69510299977692602</c:v>
                </c:pt>
                <c:pt idx="459">
                  <c:v>0.66827742889075359</c:v>
                </c:pt>
                <c:pt idx="460">
                  <c:v>0.63793671515432082</c:v>
                </c:pt>
                <c:pt idx="461">
                  <c:v>0.60451895949480172</c:v>
                </c:pt>
                <c:pt idx="462">
                  <c:v>0.56764407327826527</c:v>
                </c:pt>
                <c:pt idx="463">
                  <c:v>0.52819919103708846</c:v>
                </c:pt>
                <c:pt idx="464">
                  <c:v>0.48656332837244431</c:v>
                </c:pt>
                <c:pt idx="465">
                  <c:v>0.44490630075061705</c:v>
                </c:pt>
                <c:pt idx="466">
                  <c:v>0.40422770455153728</c:v>
                </c:pt>
                <c:pt idx="467">
                  <c:v>0.3988654244970895</c:v>
                </c:pt>
                <c:pt idx="468">
                  <c:v>0.98291280402450532</c:v>
                </c:pt>
                <c:pt idx="469">
                  <c:v>0.98291280402450532</c:v>
                </c:pt>
                <c:pt idx="470">
                  <c:v>0.93029680368287238</c:v>
                </c:pt>
                <c:pt idx="471">
                  <c:v>0.9263375056609463</c:v>
                </c:pt>
                <c:pt idx="472">
                  <c:v>0.92410350289481191</c:v>
                </c:pt>
                <c:pt idx="473">
                  <c:v>0.92246702056568797</c:v>
                </c:pt>
                <c:pt idx="474">
                  <c:v>0.92112545075286889</c:v>
                </c:pt>
                <c:pt idx="475">
                  <c:v>0.91996796940552472</c:v>
                </c:pt>
                <c:pt idx="476">
                  <c:v>0.91893925200966098</c:v>
                </c:pt>
                <c:pt idx="477">
                  <c:v>0.91800698533963754</c:v>
                </c:pt>
                <c:pt idx="478">
                  <c:v>0.91702734816235443</c:v>
                </c:pt>
                <c:pt idx="479">
                  <c:v>0.9159585801938982</c:v>
                </c:pt>
                <c:pt idx="480">
                  <c:v>0.91479625559011313</c:v>
                </c:pt>
                <c:pt idx="481">
                  <c:v>0.91353048339815646</c:v>
                </c:pt>
                <c:pt idx="482">
                  <c:v>0.91215088532597044</c:v>
                </c:pt>
                <c:pt idx="483">
                  <c:v>0.91064585001688003</c:v>
                </c:pt>
                <c:pt idx="484">
                  <c:v>0.90900246739993606</c:v>
                </c:pt>
                <c:pt idx="485">
                  <c:v>0.90720635607175415</c:v>
                </c:pt>
                <c:pt idx="486">
                  <c:v>0.90524147856173309</c:v>
                </c:pt>
                <c:pt idx="487">
                  <c:v>0.90308992791247966</c:v>
                </c:pt>
                <c:pt idx="488">
                  <c:v>0.90073168239924084</c:v>
                </c:pt>
                <c:pt idx="489">
                  <c:v>0.89814432232808461</c:v>
                </c:pt>
                <c:pt idx="490">
                  <c:v>0.89530270197348261</c:v>
                </c:pt>
                <c:pt idx="491">
                  <c:v>0.89217856822269714</c:v>
                </c:pt>
                <c:pt idx="492">
                  <c:v>0.88874011591112845</c:v>
                </c:pt>
                <c:pt idx="493">
                  <c:v>0.88495146788830703</c:v>
                </c:pt>
                <c:pt idx="494">
                  <c:v>0.88077206574924116</c:v>
                </c:pt>
                <c:pt idx="495">
                  <c:v>0.87615595477184927</c:v>
                </c:pt>
                <c:pt idx="496">
                  <c:v>0.87105094411999118</c:v>
                </c:pt>
                <c:pt idx="497">
                  <c:v>0.86539762083250626</c:v>
                </c:pt>
                <c:pt idx="498">
                  <c:v>0.8591281939956712</c:v>
                </c:pt>
                <c:pt idx="499">
                  <c:v>0.85216514411116695</c:v>
                </c:pt>
                <c:pt idx="500">
                  <c:v>0.84441965326912749</c:v>
                </c:pt>
                <c:pt idx="501">
                  <c:v>0.8357897958054098</c:v>
                </c:pt>
                <c:pt idx="502">
                  <c:v>0.82615847988380908</c:v>
                </c:pt>
                <c:pt idx="503">
                  <c:v>0.8153911530387663</c:v>
                </c:pt>
                <c:pt idx="504">
                  <c:v>0.80333332837909754</c:v>
                </c:pt>
                <c:pt idx="505">
                  <c:v>0.78980806865897468</c:v>
                </c:pt>
                <c:pt idx="506">
                  <c:v>0.77461508690290759</c:v>
                </c:pt>
                <c:pt idx="507">
                  <c:v>0.76038690457725777</c:v>
                </c:pt>
                <c:pt idx="508">
                  <c:v>0.74027333028292353</c:v>
                </c:pt>
                <c:pt idx="509">
                  <c:v>0.71945185286861368</c:v>
                </c:pt>
                <c:pt idx="510">
                  <c:v>0.69510299977692602</c:v>
                </c:pt>
                <c:pt idx="511">
                  <c:v>0.66827742889075359</c:v>
                </c:pt>
                <c:pt idx="512">
                  <c:v>0.63793671515432082</c:v>
                </c:pt>
                <c:pt idx="513">
                  <c:v>0.60451895949480172</c:v>
                </c:pt>
                <c:pt idx="514">
                  <c:v>0.56764407327826527</c:v>
                </c:pt>
                <c:pt idx="515">
                  <c:v>0.52819919103708846</c:v>
                </c:pt>
                <c:pt idx="516">
                  <c:v>0.48656332837244431</c:v>
                </c:pt>
                <c:pt idx="517">
                  <c:v>0.44490630075061705</c:v>
                </c:pt>
                <c:pt idx="518">
                  <c:v>0.40422770455153728</c:v>
                </c:pt>
                <c:pt idx="519">
                  <c:v>0.3988654244970895</c:v>
                </c:pt>
                <c:pt idx="520">
                  <c:v>0.98291280402450532</c:v>
                </c:pt>
                <c:pt idx="521">
                  <c:v>0.98291280402450532</c:v>
                </c:pt>
                <c:pt idx="522">
                  <c:v>0.93029680368287238</c:v>
                </c:pt>
                <c:pt idx="523">
                  <c:v>0.9263375056609463</c:v>
                </c:pt>
                <c:pt idx="524">
                  <c:v>0.92410350289481191</c:v>
                </c:pt>
                <c:pt idx="525">
                  <c:v>0.92246702056568797</c:v>
                </c:pt>
                <c:pt idx="526">
                  <c:v>0.92112545075286889</c:v>
                </c:pt>
                <c:pt idx="527">
                  <c:v>0.91996796940552472</c:v>
                </c:pt>
                <c:pt idx="528">
                  <c:v>0.91893925200966098</c:v>
                </c:pt>
                <c:pt idx="529">
                  <c:v>0.91800698533963754</c:v>
                </c:pt>
                <c:pt idx="530">
                  <c:v>0.91702734816235443</c:v>
                </c:pt>
                <c:pt idx="531">
                  <c:v>0.9159585801938982</c:v>
                </c:pt>
                <c:pt idx="532">
                  <c:v>0.91479625559011313</c:v>
                </c:pt>
                <c:pt idx="533">
                  <c:v>0.91353048339815646</c:v>
                </c:pt>
                <c:pt idx="534">
                  <c:v>0.91215088532597044</c:v>
                </c:pt>
                <c:pt idx="535">
                  <c:v>0.91064585001688003</c:v>
                </c:pt>
                <c:pt idx="536">
                  <c:v>0.90900246739993606</c:v>
                </c:pt>
                <c:pt idx="537">
                  <c:v>0.90720635607175415</c:v>
                </c:pt>
                <c:pt idx="538">
                  <c:v>0.90524147856173309</c:v>
                </c:pt>
                <c:pt idx="539">
                  <c:v>0.90308992791247966</c:v>
                </c:pt>
                <c:pt idx="540">
                  <c:v>0.90073168239924084</c:v>
                </c:pt>
                <c:pt idx="541">
                  <c:v>0.89814432232808461</c:v>
                </c:pt>
                <c:pt idx="542">
                  <c:v>0.89530270197348261</c:v>
                </c:pt>
                <c:pt idx="543">
                  <c:v>0.89217856822269714</c:v>
                </c:pt>
                <c:pt idx="544">
                  <c:v>0.88874011591112845</c:v>
                </c:pt>
                <c:pt idx="545">
                  <c:v>0.88495146788830703</c:v>
                </c:pt>
                <c:pt idx="546">
                  <c:v>0.88077206574924116</c:v>
                </c:pt>
                <c:pt idx="547">
                  <c:v>0.87615595477184927</c:v>
                </c:pt>
                <c:pt idx="548">
                  <c:v>0.87105094411999118</c:v>
                </c:pt>
                <c:pt idx="549">
                  <c:v>0.86539762083250626</c:v>
                </c:pt>
                <c:pt idx="550">
                  <c:v>0.8591281939956712</c:v>
                </c:pt>
                <c:pt idx="551">
                  <c:v>0.85216514411116695</c:v>
                </c:pt>
                <c:pt idx="552">
                  <c:v>0.84441965326912749</c:v>
                </c:pt>
                <c:pt idx="553">
                  <c:v>0.8357897958054098</c:v>
                </c:pt>
                <c:pt idx="554">
                  <c:v>0.82615847988380908</c:v>
                </c:pt>
                <c:pt idx="555">
                  <c:v>0.8153911530387663</c:v>
                </c:pt>
                <c:pt idx="556">
                  <c:v>0.80333332837909754</c:v>
                </c:pt>
                <c:pt idx="557">
                  <c:v>0.78980806865897468</c:v>
                </c:pt>
                <c:pt idx="558">
                  <c:v>0.77461508690290759</c:v>
                </c:pt>
                <c:pt idx="559">
                  <c:v>0.76038690457725777</c:v>
                </c:pt>
                <c:pt idx="560">
                  <c:v>0.74027333028292353</c:v>
                </c:pt>
                <c:pt idx="561">
                  <c:v>0.71945185286861368</c:v>
                </c:pt>
                <c:pt idx="562">
                  <c:v>0.69510299977692602</c:v>
                </c:pt>
                <c:pt idx="563">
                  <c:v>0.66827742889075359</c:v>
                </c:pt>
                <c:pt idx="564">
                  <c:v>0.63793671515432082</c:v>
                </c:pt>
                <c:pt idx="565">
                  <c:v>0.60451895949480172</c:v>
                </c:pt>
                <c:pt idx="566">
                  <c:v>0.56764407327826527</c:v>
                </c:pt>
                <c:pt idx="567">
                  <c:v>0.52819919103708846</c:v>
                </c:pt>
                <c:pt idx="568">
                  <c:v>0.48656332837244431</c:v>
                </c:pt>
                <c:pt idx="569">
                  <c:v>0.44490630075061705</c:v>
                </c:pt>
                <c:pt idx="570">
                  <c:v>0.40422770455153728</c:v>
                </c:pt>
                <c:pt idx="571">
                  <c:v>0.3988654244970895</c:v>
                </c:pt>
                <c:pt idx="572">
                  <c:v>0.98291280402450532</c:v>
                </c:pt>
                <c:pt idx="573">
                  <c:v>0.98291280402450532</c:v>
                </c:pt>
                <c:pt idx="574">
                  <c:v>0.93029680368287238</c:v>
                </c:pt>
                <c:pt idx="575">
                  <c:v>0.9263375056609463</c:v>
                </c:pt>
                <c:pt idx="576">
                  <c:v>0.92410350289481191</c:v>
                </c:pt>
                <c:pt idx="577">
                  <c:v>0.92246702056568797</c:v>
                </c:pt>
                <c:pt idx="578">
                  <c:v>0.92112545075286889</c:v>
                </c:pt>
                <c:pt idx="579">
                  <c:v>0.91996796940552472</c:v>
                </c:pt>
                <c:pt idx="580">
                  <c:v>0.91893925200966098</c:v>
                </c:pt>
                <c:pt idx="581">
                  <c:v>0.91800698533963754</c:v>
                </c:pt>
                <c:pt idx="582">
                  <c:v>0.91702734816235443</c:v>
                </c:pt>
                <c:pt idx="583">
                  <c:v>0.9159585801938982</c:v>
                </c:pt>
                <c:pt idx="584">
                  <c:v>0.91479625559011313</c:v>
                </c:pt>
                <c:pt idx="585">
                  <c:v>0.91353048339815646</c:v>
                </c:pt>
                <c:pt idx="586">
                  <c:v>0.91215088532597044</c:v>
                </c:pt>
                <c:pt idx="587">
                  <c:v>0.91064585001688003</c:v>
                </c:pt>
                <c:pt idx="588">
                  <c:v>0.90900246739993606</c:v>
                </c:pt>
                <c:pt idx="589">
                  <c:v>0.90720635607175415</c:v>
                </c:pt>
                <c:pt idx="590">
                  <c:v>0.90524147856173309</c:v>
                </c:pt>
                <c:pt idx="591">
                  <c:v>0.90308992791247966</c:v>
                </c:pt>
                <c:pt idx="592">
                  <c:v>0.90073168239924084</c:v>
                </c:pt>
                <c:pt idx="593">
                  <c:v>0.89814432232808461</c:v>
                </c:pt>
                <c:pt idx="594">
                  <c:v>0.89530270197348261</c:v>
                </c:pt>
                <c:pt idx="595">
                  <c:v>0.89217856822269714</c:v>
                </c:pt>
                <c:pt idx="596">
                  <c:v>0.88874011591112845</c:v>
                </c:pt>
                <c:pt idx="597">
                  <c:v>0.88495146788830703</c:v>
                </c:pt>
                <c:pt idx="598">
                  <c:v>0.88077206574924116</c:v>
                </c:pt>
                <c:pt idx="599">
                  <c:v>0.87615595477184927</c:v>
                </c:pt>
                <c:pt idx="600">
                  <c:v>0.87105094411999118</c:v>
                </c:pt>
                <c:pt idx="601">
                  <c:v>0.86539762083250626</c:v>
                </c:pt>
                <c:pt idx="602">
                  <c:v>0.8591281939956712</c:v>
                </c:pt>
                <c:pt idx="603">
                  <c:v>0.85216514411116695</c:v>
                </c:pt>
                <c:pt idx="604">
                  <c:v>0.84441965326912749</c:v>
                </c:pt>
                <c:pt idx="605">
                  <c:v>0.8357897958054098</c:v>
                </c:pt>
                <c:pt idx="606">
                  <c:v>0.82615847988380908</c:v>
                </c:pt>
                <c:pt idx="607">
                  <c:v>0.8153911530387663</c:v>
                </c:pt>
                <c:pt idx="608">
                  <c:v>0.80333332837909754</c:v>
                </c:pt>
                <c:pt idx="609">
                  <c:v>0.78980806865897468</c:v>
                </c:pt>
                <c:pt idx="610">
                  <c:v>0.77461508690290759</c:v>
                </c:pt>
                <c:pt idx="611">
                  <c:v>0.76038690457725777</c:v>
                </c:pt>
                <c:pt idx="612">
                  <c:v>0.74027333028292353</c:v>
                </c:pt>
                <c:pt idx="613">
                  <c:v>0.71945185286861368</c:v>
                </c:pt>
                <c:pt idx="614">
                  <c:v>0.69510299977692602</c:v>
                </c:pt>
                <c:pt idx="615">
                  <c:v>0.66827742889075359</c:v>
                </c:pt>
                <c:pt idx="616">
                  <c:v>0.63793671515432082</c:v>
                </c:pt>
                <c:pt idx="617">
                  <c:v>0.60451895949480172</c:v>
                </c:pt>
                <c:pt idx="618">
                  <c:v>0.56764407327826527</c:v>
                </c:pt>
                <c:pt idx="619">
                  <c:v>0.52819919103708846</c:v>
                </c:pt>
                <c:pt idx="620">
                  <c:v>0.48656332837244431</c:v>
                </c:pt>
                <c:pt idx="621">
                  <c:v>0.44490630075061705</c:v>
                </c:pt>
                <c:pt idx="622">
                  <c:v>0.40422770455153728</c:v>
                </c:pt>
                <c:pt idx="623">
                  <c:v>0.3988654244970895</c:v>
                </c:pt>
                <c:pt idx="624">
                  <c:v>0.98291280402450532</c:v>
                </c:pt>
                <c:pt idx="625">
                  <c:v>0.98291280402450532</c:v>
                </c:pt>
                <c:pt idx="626">
                  <c:v>0.93029680368287238</c:v>
                </c:pt>
                <c:pt idx="627">
                  <c:v>0.9263375056609463</c:v>
                </c:pt>
                <c:pt idx="628">
                  <c:v>0.92410350289481191</c:v>
                </c:pt>
                <c:pt idx="629">
                  <c:v>0.92246702056568797</c:v>
                </c:pt>
                <c:pt idx="630">
                  <c:v>0.92112545075286889</c:v>
                </c:pt>
                <c:pt idx="631">
                  <c:v>0.91996796940552472</c:v>
                </c:pt>
                <c:pt idx="632">
                  <c:v>0.91893925200966098</c:v>
                </c:pt>
                <c:pt idx="633">
                  <c:v>0.91800698533963754</c:v>
                </c:pt>
                <c:pt idx="634">
                  <c:v>0.91702734816235443</c:v>
                </c:pt>
                <c:pt idx="635">
                  <c:v>0.9159585801938982</c:v>
                </c:pt>
                <c:pt idx="636">
                  <c:v>0.91479625559011313</c:v>
                </c:pt>
                <c:pt idx="637">
                  <c:v>0.91353048339815646</c:v>
                </c:pt>
                <c:pt idx="638">
                  <c:v>0.91215088532597044</c:v>
                </c:pt>
                <c:pt idx="639">
                  <c:v>0.91064585001688003</c:v>
                </c:pt>
                <c:pt idx="640">
                  <c:v>0.90900246739993606</c:v>
                </c:pt>
                <c:pt idx="641">
                  <c:v>0.90720635607175415</c:v>
                </c:pt>
                <c:pt idx="642">
                  <c:v>0.90524147856173309</c:v>
                </c:pt>
                <c:pt idx="643">
                  <c:v>0.90308992791247966</c:v>
                </c:pt>
                <c:pt idx="644">
                  <c:v>0.90073168239924084</c:v>
                </c:pt>
                <c:pt idx="645">
                  <c:v>0.89814432232808461</c:v>
                </c:pt>
                <c:pt idx="646">
                  <c:v>0.89530270197348261</c:v>
                </c:pt>
                <c:pt idx="647">
                  <c:v>0.89217856822269714</c:v>
                </c:pt>
                <c:pt idx="648">
                  <c:v>0.88874011591112845</c:v>
                </c:pt>
                <c:pt idx="649">
                  <c:v>0.88495146788830703</c:v>
                </c:pt>
                <c:pt idx="650">
                  <c:v>0.88077206574924116</c:v>
                </c:pt>
                <c:pt idx="651">
                  <c:v>0.87615595477184927</c:v>
                </c:pt>
                <c:pt idx="652">
                  <c:v>0.87105094411999118</c:v>
                </c:pt>
                <c:pt idx="653">
                  <c:v>0.86539762083250626</c:v>
                </c:pt>
                <c:pt idx="654">
                  <c:v>0.8591281939956712</c:v>
                </c:pt>
                <c:pt idx="655">
                  <c:v>0.85216514411116695</c:v>
                </c:pt>
                <c:pt idx="656">
                  <c:v>0.84441965326912749</c:v>
                </c:pt>
                <c:pt idx="657">
                  <c:v>0.8357897958054098</c:v>
                </c:pt>
                <c:pt idx="658">
                  <c:v>0.82615847988380908</c:v>
                </c:pt>
                <c:pt idx="659">
                  <c:v>0.8153911530387663</c:v>
                </c:pt>
                <c:pt idx="660">
                  <c:v>0.80333332837909754</c:v>
                </c:pt>
                <c:pt idx="661">
                  <c:v>0.78980806865897468</c:v>
                </c:pt>
                <c:pt idx="662">
                  <c:v>0.77461508690290759</c:v>
                </c:pt>
                <c:pt idx="663">
                  <c:v>0.76038690457725777</c:v>
                </c:pt>
                <c:pt idx="664">
                  <c:v>0.74027333028292353</c:v>
                </c:pt>
                <c:pt idx="665">
                  <c:v>0.71945185286861368</c:v>
                </c:pt>
                <c:pt idx="666">
                  <c:v>0.69510299977692602</c:v>
                </c:pt>
                <c:pt idx="667">
                  <c:v>0.66827742889075359</c:v>
                </c:pt>
                <c:pt idx="668">
                  <c:v>0.63793671515432082</c:v>
                </c:pt>
                <c:pt idx="669">
                  <c:v>0.60451895949480172</c:v>
                </c:pt>
                <c:pt idx="670">
                  <c:v>0.56764407327826527</c:v>
                </c:pt>
                <c:pt idx="671">
                  <c:v>0.52819919103708846</c:v>
                </c:pt>
                <c:pt idx="672">
                  <c:v>0.48656332837244431</c:v>
                </c:pt>
                <c:pt idx="673">
                  <c:v>0.44490630075061705</c:v>
                </c:pt>
                <c:pt idx="674">
                  <c:v>0.40422770455153728</c:v>
                </c:pt>
                <c:pt idx="675">
                  <c:v>0.3988654244970895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A8-43B9-B3DE-B64B552A7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018992"/>
        <c:axId val="722019552"/>
      </c:scatterChart>
      <c:valAx>
        <c:axId val="722018992"/>
        <c:scaling>
          <c:orientation val="minMax"/>
          <c:max val="3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19552"/>
        <c:crosses val="autoZero"/>
        <c:crossBetween val="midCat"/>
        <c:majorUnit val="10"/>
      </c:valAx>
      <c:valAx>
        <c:axId val="7220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1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256174708930614"/>
          <c:y val="4.1666666666666664E-2"/>
          <c:w val="0.73581432128676239"/>
          <c:h val="0.77096754951085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xVal>
            <c:numRef>
              <c:f>V_SG_1_V_SL_1_1cP!$AA$56:$AA$731</c:f>
              <c:numCache>
                <c:formatCode>General</c:formatCode>
                <c:ptCount val="676"/>
                <c:pt idx="0">
                  <c:v>30.105662832572801</c:v>
                </c:pt>
                <c:pt idx="1">
                  <c:v>28.9626628325728</c:v>
                </c:pt>
                <c:pt idx="2">
                  <c:v>28.9626628325728</c:v>
                </c:pt>
                <c:pt idx="3">
                  <c:v>28.962661832572802</c:v>
                </c:pt>
                <c:pt idx="4">
                  <c:v>28.962112942157059</c:v>
                </c:pt>
                <c:pt idx="5">
                  <c:v>28.960067362333429</c:v>
                </c:pt>
                <c:pt idx="6">
                  <c:v>28.957650734544774</c:v>
                </c:pt>
                <c:pt idx="7">
                  <c:v>28.953516652914374</c:v>
                </c:pt>
                <c:pt idx="8">
                  <c:v>28.948198427057648</c:v>
                </c:pt>
                <c:pt idx="9">
                  <c:v>28.937746750162283</c:v>
                </c:pt>
                <c:pt idx="10">
                  <c:v>28.922562243177204</c:v>
                </c:pt>
                <c:pt idx="11">
                  <c:v>28.89475589495715</c:v>
                </c:pt>
                <c:pt idx="12">
                  <c:v>28.850514716630393</c:v>
                </c:pt>
                <c:pt idx="13">
                  <c:v>28.767228816708272</c:v>
                </c:pt>
                <c:pt idx="14">
                  <c:v>28.630412393749975</c:v>
                </c:pt>
                <c:pt idx="15">
                  <c:v>28.355612991642481</c:v>
                </c:pt>
                <c:pt idx="16">
                  <c:v>27.909006333686637</c:v>
                </c:pt>
                <c:pt idx="17">
                  <c:v>27.827361667573342</c:v>
                </c:pt>
                <c:pt idx="18">
                  <c:v>27.827361667573342</c:v>
                </c:pt>
                <c:pt idx="19">
                  <c:v>26.684361667573341</c:v>
                </c:pt>
                <c:pt idx="20">
                  <c:v>26.684361667573341</c:v>
                </c:pt>
                <c:pt idx="21">
                  <c:v>26.684360667573344</c:v>
                </c:pt>
                <c:pt idx="22">
                  <c:v>26.683811777157601</c:v>
                </c:pt>
                <c:pt idx="23">
                  <c:v>26.681766197333971</c:v>
                </c:pt>
                <c:pt idx="24">
                  <c:v>26.679349569545316</c:v>
                </c:pt>
                <c:pt idx="25">
                  <c:v>26.675215487914915</c:v>
                </c:pt>
                <c:pt idx="26">
                  <c:v>26.669897262058189</c:v>
                </c:pt>
                <c:pt idx="27">
                  <c:v>26.659445585162825</c:v>
                </c:pt>
                <c:pt idx="28">
                  <c:v>26.644261078177749</c:v>
                </c:pt>
                <c:pt idx="29">
                  <c:v>26.616454729957692</c:v>
                </c:pt>
                <c:pt idx="30">
                  <c:v>26.572213551630934</c:v>
                </c:pt>
                <c:pt idx="31">
                  <c:v>26.488927651708813</c:v>
                </c:pt>
                <c:pt idx="32">
                  <c:v>26.352111228750516</c:v>
                </c:pt>
                <c:pt idx="33">
                  <c:v>26.077311826643022</c:v>
                </c:pt>
                <c:pt idx="34">
                  <c:v>25.630705168687179</c:v>
                </c:pt>
                <c:pt idx="35">
                  <c:v>25.549060502573884</c:v>
                </c:pt>
                <c:pt idx="36">
                  <c:v>25.549060502573887</c:v>
                </c:pt>
                <c:pt idx="37">
                  <c:v>24.406060502573887</c:v>
                </c:pt>
                <c:pt idx="38">
                  <c:v>24.406060502573887</c:v>
                </c:pt>
                <c:pt idx="39">
                  <c:v>24.406059502573889</c:v>
                </c:pt>
                <c:pt idx="40">
                  <c:v>24.405510612158146</c:v>
                </c:pt>
                <c:pt idx="41">
                  <c:v>24.403465032334516</c:v>
                </c:pt>
                <c:pt idx="42">
                  <c:v>24.401048404545861</c:v>
                </c:pt>
                <c:pt idx="43">
                  <c:v>24.39691432291546</c:v>
                </c:pt>
                <c:pt idx="44">
                  <c:v>24.391596097058734</c:v>
                </c:pt>
                <c:pt idx="45">
                  <c:v>24.38114442016337</c:v>
                </c:pt>
                <c:pt idx="46">
                  <c:v>24.365959913178294</c:v>
                </c:pt>
                <c:pt idx="47">
                  <c:v>24.338153564958237</c:v>
                </c:pt>
                <c:pt idx="48">
                  <c:v>24.293912386631479</c:v>
                </c:pt>
                <c:pt idx="49">
                  <c:v>24.210626486709359</c:v>
                </c:pt>
                <c:pt idx="50">
                  <c:v>24.073810063751061</c:v>
                </c:pt>
                <c:pt idx="51">
                  <c:v>23.799010661643567</c:v>
                </c:pt>
                <c:pt idx="52">
                  <c:v>23.352404003687724</c:v>
                </c:pt>
                <c:pt idx="53">
                  <c:v>23.270759337574429</c:v>
                </c:pt>
                <c:pt idx="54">
                  <c:v>23.270759337574429</c:v>
                </c:pt>
                <c:pt idx="55">
                  <c:v>22.127759337574428</c:v>
                </c:pt>
                <c:pt idx="56">
                  <c:v>22.127759337574428</c:v>
                </c:pt>
                <c:pt idx="57">
                  <c:v>22.127758337574431</c:v>
                </c:pt>
                <c:pt idx="58">
                  <c:v>22.127209447158688</c:v>
                </c:pt>
                <c:pt idx="59">
                  <c:v>22.125163867335058</c:v>
                </c:pt>
                <c:pt idx="60">
                  <c:v>22.122747239546403</c:v>
                </c:pt>
                <c:pt idx="61">
                  <c:v>22.118613157916002</c:v>
                </c:pt>
                <c:pt idx="62">
                  <c:v>22.113294932059276</c:v>
                </c:pt>
                <c:pt idx="63">
                  <c:v>22.102843255163911</c:v>
                </c:pt>
                <c:pt idx="64">
                  <c:v>22.087658748178832</c:v>
                </c:pt>
                <c:pt idx="65">
                  <c:v>22.059852399958778</c:v>
                </c:pt>
                <c:pt idx="66">
                  <c:v>22.015611221632021</c:v>
                </c:pt>
                <c:pt idx="67">
                  <c:v>21.9323253217099</c:v>
                </c:pt>
                <c:pt idx="68">
                  <c:v>21.795508898751603</c:v>
                </c:pt>
                <c:pt idx="69">
                  <c:v>21.520709496644109</c:v>
                </c:pt>
                <c:pt idx="70">
                  <c:v>21.074102838688265</c:v>
                </c:pt>
                <c:pt idx="71">
                  <c:v>20.99245817257497</c:v>
                </c:pt>
                <c:pt idx="72">
                  <c:v>20.99245817257497</c:v>
                </c:pt>
                <c:pt idx="73">
                  <c:v>19.84945817257497</c:v>
                </c:pt>
                <c:pt idx="74">
                  <c:v>19.84945817257497</c:v>
                </c:pt>
                <c:pt idx="75">
                  <c:v>19.849457172574972</c:v>
                </c:pt>
                <c:pt idx="76">
                  <c:v>19.848908282159229</c:v>
                </c:pt>
                <c:pt idx="77">
                  <c:v>19.846862702335599</c:v>
                </c:pt>
                <c:pt idx="78">
                  <c:v>19.844446074546944</c:v>
                </c:pt>
                <c:pt idx="79">
                  <c:v>19.840311992916543</c:v>
                </c:pt>
                <c:pt idx="80">
                  <c:v>19.834993767059817</c:v>
                </c:pt>
                <c:pt idx="81">
                  <c:v>19.824542090164453</c:v>
                </c:pt>
                <c:pt idx="82">
                  <c:v>19.809357583179377</c:v>
                </c:pt>
                <c:pt idx="83">
                  <c:v>19.78155123495932</c:v>
                </c:pt>
                <c:pt idx="84">
                  <c:v>19.737310056632563</c:v>
                </c:pt>
                <c:pt idx="85">
                  <c:v>19.654024156710442</c:v>
                </c:pt>
                <c:pt idx="86">
                  <c:v>19.517207733752144</c:v>
                </c:pt>
                <c:pt idx="87">
                  <c:v>19.242408331644651</c:v>
                </c:pt>
                <c:pt idx="88">
                  <c:v>18.795801673688807</c:v>
                </c:pt>
                <c:pt idx="89">
                  <c:v>18.714157007575512</c:v>
                </c:pt>
                <c:pt idx="90">
                  <c:v>18.714157007575512</c:v>
                </c:pt>
                <c:pt idx="91">
                  <c:v>17.571157007575511</c:v>
                </c:pt>
                <c:pt idx="92">
                  <c:v>17.571157007575511</c:v>
                </c:pt>
                <c:pt idx="93">
                  <c:v>17.571156007575514</c:v>
                </c:pt>
                <c:pt idx="94">
                  <c:v>17.570607117159771</c:v>
                </c:pt>
                <c:pt idx="95">
                  <c:v>17.568561537336141</c:v>
                </c:pt>
                <c:pt idx="96">
                  <c:v>17.566144909547486</c:v>
                </c:pt>
                <c:pt idx="97">
                  <c:v>17.562010827917085</c:v>
                </c:pt>
                <c:pt idx="98">
                  <c:v>17.556692602060359</c:v>
                </c:pt>
                <c:pt idx="99">
                  <c:v>17.546240925164994</c:v>
                </c:pt>
                <c:pt idx="100">
                  <c:v>17.531056418179915</c:v>
                </c:pt>
                <c:pt idx="101">
                  <c:v>17.503250069959861</c:v>
                </c:pt>
                <c:pt idx="102">
                  <c:v>17.459008891633104</c:v>
                </c:pt>
                <c:pt idx="103">
                  <c:v>17.375722991710983</c:v>
                </c:pt>
                <c:pt idx="104">
                  <c:v>17.238906568752686</c:v>
                </c:pt>
                <c:pt idx="105">
                  <c:v>16.964107166645192</c:v>
                </c:pt>
                <c:pt idx="106">
                  <c:v>16.517500508689348</c:v>
                </c:pt>
                <c:pt idx="107">
                  <c:v>16.435855842576053</c:v>
                </c:pt>
                <c:pt idx="108">
                  <c:v>16.435855842576053</c:v>
                </c:pt>
                <c:pt idx="109">
                  <c:v>15.292855842576053</c:v>
                </c:pt>
                <c:pt idx="110">
                  <c:v>15.292855842576053</c:v>
                </c:pt>
                <c:pt idx="111">
                  <c:v>15.292854842576054</c:v>
                </c:pt>
                <c:pt idx="112">
                  <c:v>15.29230595216031</c:v>
                </c:pt>
                <c:pt idx="113">
                  <c:v>15.290260372336681</c:v>
                </c:pt>
                <c:pt idx="114">
                  <c:v>15.287843744548029</c:v>
                </c:pt>
                <c:pt idx="115">
                  <c:v>15.283709662917627</c:v>
                </c:pt>
                <c:pt idx="116">
                  <c:v>15.278391437060902</c:v>
                </c:pt>
                <c:pt idx="117">
                  <c:v>15.267939760165536</c:v>
                </c:pt>
                <c:pt idx="118">
                  <c:v>15.252755253180458</c:v>
                </c:pt>
                <c:pt idx="119">
                  <c:v>15.224948904960401</c:v>
                </c:pt>
                <c:pt idx="120">
                  <c:v>15.180707726633646</c:v>
                </c:pt>
                <c:pt idx="121">
                  <c:v>15.097421826711525</c:v>
                </c:pt>
                <c:pt idx="122">
                  <c:v>14.960605403753227</c:v>
                </c:pt>
                <c:pt idx="123">
                  <c:v>14.685806001645734</c:v>
                </c:pt>
                <c:pt idx="124">
                  <c:v>14.23919934368989</c:v>
                </c:pt>
                <c:pt idx="125">
                  <c:v>14.157554677576595</c:v>
                </c:pt>
                <c:pt idx="126">
                  <c:v>14.157554677576599</c:v>
                </c:pt>
                <c:pt idx="127">
                  <c:v>13.014554677576598</c:v>
                </c:pt>
                <c:pt idx="128">
                  <c:v>13.014554677576598</c:v>
                </c:pt>
                <c:pt idx="129">
                  <c:v>13.014553677576599</c:v>
                </c:pt>
                <c:pt idx="130">
                  <c:v>13.014004787160856</c:v>
                </c:pt>
                <c:pt idx="131">
                  <c:v>13.011959207337226</c:v>
                </c:pt>
                <c:pt idx="132">
                  <c:v>13.009542579548574</c:v>
                </c:pt>
                <c:pt idx="133">
                  <c:v>13.005408497918172</c:v>
                </c:pt>
                <c:pt idx="134">
                  <c:v>13.000090272061447</c:v>
                </c:pt>
                <c:pt idx="135">
                  <c:v>12.989638595166081</c:v>
                </c:pt>
                <c:pt idx="136">
                  <c:v>12.974454088181004</c:v>
                </c:pt>
                <c:pt idx="137">
                  <c:v>12.946647739960946</c:v>
                </c:pt>
                <c:pt idx="138">
                  <c:v>12.902406561634191</c:v>
                </c:pt>
                <c:pt idx="139">
                  <c:v>12.81912066171207</c:v>
                </c:pt>
                <c:pt idx="140">
                  <c:v>12.682304238753773</c:v>
                </c:pt>
                <c:pt idx="141">
                  <c:v>12.407504836646279</c:v>
                </c:pt>
                <c:pt idx="142">
                  <c:v>11.960898178690435</c:v>
                </c:pt>
                <c:pt idx="143">
                  <c:v>11.87925351257714</c:v>
                </c:pt>
                <c:pt idx="144">
                  <c:v>11.87925351257714</c:v>
                </c:pt>
                <c:pt idx="145">
                  <c:v>10.736253512577139</c:v>
                </c:pt>
                <c:pt idx="146">
                  <c:v>10.736253512577139</c:v>
                </c:pt>
                <c:pt idx="147">
                  <c:v>10.73625251257714</c:v>
                </c:pt>
                <c:pt idx="148">
                  <c:v>10.735703622161397</c:v>
                </c:pt>
                <c:pt idx="149">
                  <c:v>10.733658042337767</c:v>
                </c:pt>
                <c:pt idx="150">
                  <c:v>10.731241414549116</c:v>
                </c:pt>
                <c:pt idx="151">
                  <c:v>10.727107332918713</c:v>
                </c:pt>
                <c:pt idx="152">
                  <c:v>10.721789107061989</c:v>
                </c:pt>
                <c:pt idx="153">
                  <c:v>10.711337430166623</c:v>
                </c:pt>
                <c:pt idx="154">
                  <c:v>10.696152923181545</c:v>
                </c:pt>
                <c:pt idx="155">
                  <c:v>10.668346574961488</c:v>
                </c:pt>
                <c:pt idx="156">
                  <c:v>10.624105396634732</c:v>
                </c:pt>
                <c:pt idx="157">
                  <c:v>10.540819496712611</c:v>
                </c:pt>
                <c:pt idx="158">
                  <c:v>10.404003073754314</c:v>
                </c:pt>
                <c:pt idx="159">
                  <c:v>10.12920367164682</c:v>
                </c:pt>
                <c:pt idx="160">
                  <c:v>9.6825970136909767</c:v>
                </c:pt>
                <c:pt idx="161">
                  <c:v>9.6009523475776817</c:v>
                </c:pt>
                <c:pt idx="162">
                  <c:v>9.6009523475776817</c:v>
                </c:pt>
                <c:pt idx="163">
                  <c:v>8.457952347577681</c:v>
                </c:pt>
                <c:pt idx="164">
                  <c:v>8.457952347577681</c:v>
                </c:pt>
                <c:pt idx="165">
                  <c:v>8.4579513475776817</c:v>
                </c:pt>
                <c:pt idx="166">
                  <c:v>8.4574024571619386</c:v>
                </c:pt>
                <c:pt idx="167">
                  <c:v>8.4553568773383088</c:v>
                </c:pt>
                <c:pt idx="168">
                  <c:v>8.4529402495496573</c:v>
                </c:pt>
                <c:pt idx="169">
                  <c:v>8.4488061679192548</c:v>
                </c:pt>
                <c:pt idx="170">
                  <c:v>8.4434879420625304</c:v>
                </c:pt>
                <c:pt idx="171">
                  <c:v>8.4330362651671642</c:v>
                </c:pt>
                <c:pt idx="172">
                  <c:v>8.4178517581820866</c:v>
                </c:pt>
                <c:pt idx="173">
                  <c:v>8.3900454099620294</c:v>
                </c:pt>
                <c:pt idx="174">
                  <c:v>8.3458042316352739</c:v>
                </c:pt>
                <c:pt idx="175">
                  <c:v>8.262518331713153</c:v>
                </c:pt>
                <c:pt idx="176">
                  <c:v>8.1257019087548557</c:v>
                </c:pt>
                <c:pt idx="177">
                  <c:v>7.8509025066473628</c:v>
                </c:pt>
                <c:pt idx="178">
                  <c:v>7.4042958486915182</c:v>
                </c:pt>
                <c:pt idx="179">
                  <c:v>7.3226511825782241</c:v>
                </c:pt>
                <c:pt idx="180">
                  <c:v>7.3226511825782232</c:v>
                </c:pt>
                <c:pt idx="181">
                  <c:v>6.1796511825782234</c:v>
                </c:pt>
                <c:pt idx="182">
                  <c:v>6.1796511825782234</c:v>
                </c:pt>
                <c:pt idx="183">
                  <c:v>6.1796501825782233</c:v>
                </c:pt>
                <c:pt idx="184">
                  <c:v>6.1791012921624802</c:v>
                </c:pt>
                <c:pt idx="185">
                  <c:v>6.1770557123388512</c:v>
                </c:pt>
                <c:pt idx="186">
                  <c:v>6.1746390845501988</c:v>
                </c:pt>
                <c:pt idx="187">
                  <c:v>6.1705050029197963</c:v>
                </c:pt>
                <c:pt idx="188">
                  <c:v>6.1651867770630711</c:v>
                </c:pt>
                <c:pt idx="189">
                  <c:v>6.1547351001677058</c:v>
                </c:pt>
                <c:pt idx="190">
                  <c:v>6.1395505931826282</c:v>
                </c:pt>
                <c:pt idx="191">
                  <c:v>6.1117442449625718</c:v>
                </c:pt>
                <c:pt idx="192">
                  <c:v>6.0675030666358163</c:v>
                </c:pt>
                <c:pt idx="193">
                  <c:v>5.9842171667136954</c:v>
                </c:pt>
                <c:pt idx="194">
                  <c:v>5.8474007437553972</c:v>
                </c:pt>
                <c:pt idx="195">
                  <c:v>5.5726013416479043</c:v>
                </c:pt>
                <c:pt idx="196">
                  <c:v>5.1259946836920598</c:v>
                </c:pt>
                <c:pt idx="197">
                  <c:v>5.0443500175787657</c:v>
                </c:pt>
                <c:pt idx="198">
                  <c:v>5.0443500175787683</c:v>
                </c:pt>
                <c:pt idx="199">
                  <c:v>3.9013500175787685</c:v>
                </c:pt>
                <c:pt idx="200">
                  <c:v>3.9013500175787685</c:v>
                </c:pt>
                <c:pt idx="201">
                  <c:v>3.9013490175787684</c:v>
                </c:pt>
                <c:pt idx="202">
                  <c:v>3.9008001271630253</c:v>
                </c:pt>
                <c:pt idx="203">
                  <c:v>3.8987545473393963</c:v>
                </c:pt>
                <c:pt idx="204">
                  <c:v>3.8963379195507439</c:v>
                </c:pt>
                <c:pt idx="205">
                  <c:v>3.892203837920341</c:v>
                </c:pt>
                <c:pt idx="206">
                  <c:v>3.8868856120636162</c:v>
                </c:pt>
                <c:pt idx="207">
                  <c:v>3.8764339351682513</c:v>
                </c:pt>
                <c:pt idx="208">
                  <c:v>3.8612494281831733</c:v>
                </c:pt>
                <c:pt idx="209">
                  <c:v>3.833443079963117</c:v>
                </c:pt>
                <c:pt idx="210">
                  <c:v>3.7892019016363614</c:v>
                </c:pt>
                <c:pt idx="211">
                  <c:v>3.7059160017142405</c:v>
                </c:pt>
                <c:pt idx="212">
                  <c:v>3.5690995787559427</c:v>
                </c:pt>
                <c:pt idx="213">
                  <c:v>3.2943001766484494</c:v>
                </c:pt>
                <c:pt idx="214">
                  <c:v>2.8476935186926045</c:v>
                </c:pt>
                <c:pt idx="215">
                  <c:v>2.7660488525793108</c:v>
                </c:pt>
                <c:pt idx="216">
                  <c:v>2.7660488525793099</c:v>
                </c:pt>
                <c:pt idx="217">
                  <c:v>1.6230488525793101</c:v>
                </c:pt>
                <c:pt idx="218">
                  <c:v>1.6230488525793101</c:v>
                </c:pt>
                <c:pt idx="219">
                  <c:v>1.6230478525793102</c:v>
                </c:pt>
                <c:pt idx="220">
                  <c:v>1.622498962163567</c:v>
                </c:pt>
                <c:pt idx="221">
                  <c:v>1.6204533823399376</c:v>
                </c:pt>
                <c:pt idx="222">
                  <c:v>1.6180367545512853</c:v>
                </c:pt>
                <c:pt idx="223">
                  <c:v>1.6139026729208825</c:v>
                </c:pt>
                <c:pt idx="224">
                  <c:v>1.6085844470641579</c:v>
                </c:pt>
                <c:pt idx="225">
                  <c:v>1.5981327701687928</c:v>
                </c:pt>
                <c:pt idx="226">
                  <c:v>1.5829482631837148</c:v>
                </c:pt>
                <c:pt idx="227">
                  <c:v>1.5551419149636583</c:v>
                </c:pt>
                <c:pt idx="228">
                  <c:v>1.5109007366369027</c:v>
                </c:pt>
                <c:pt idx="229">
                  <c:v>1.4276148367147818</c:v>
                </c:pt>
                <c:pt idx="230">
                  <c:v>1.2907984137564843</c:v>
                </c:pt>
                <c:pt idx="231">
                  <c:v>1.0159990116489908</c:v>
                </c:pt>
                <c:pt idx="232">
                  <c:v>0.569392353693146</c:v>
                </c:pt>
                <c:pt idx="233">
                  <c:v>0.48774768757985232</c:v>
                </c:pt>
                <c:pt idx="234">
                  <c:v>0.48774768757985143</c:v>
                </c:pt>
                <c:pt idx="235">
                  <c:v>-0.65525231242014836</c:v>
                </c:pt>
                <c:pt idx="236">
                  <c:v>-0.65525231242014836</c:v>
                </c:pt>
                <c:pt idx="237">
                  <c:v>-0.65525331242014828</c:v>
                </c:pt>
                <c:pt idx="238">
                  <c:v>-0.65580220283589141</c:v>
                </c:pt>
                <c:pt idx="239">
                  <c:v>-0.65784778265952082</c:v>
                </c:pt>
                <c:pt idx="240">
                  <c:v>-0.66026441044817319</c:v>
                </c:pt>
                <c:pt idx="241">
                  <c:v>-0.66439849207857593</c:v>
                </c:pt>
                <c:pt idx="242">
                  <c:v>-0.66971671793530052</c:v>
                </c:pt>
                <c:pt idx="243">
                  <c:v>-0.6801683948306656</c:v>
                </c:pt>
                <c:pt idx="244">
                  <c:v>-0.69535290181574361</c:v>
                </c:pt>
                <c:pt idx="245">
                  <c:v>-0.72315925003580017</c:v>
                </c:pt>
                <c:pt idx="246">
                  <c:v>-0.76740042836255573</c:v>
                </c:pt>
                <c:pt idx="247">
                  <c:v>-0.85068632828467661</c:v>
                </c:pt>
                <c:pt idx="248">
                  <c:v>-0.98750275124297415</c:v>
                </c:pt>
                <c:pt idx="249">
                  <c:v>-1.2623021533504677</c:v>
                </c:pt>
                <c:pt idx="250">
                  <c:v>-1.7089088113063124</c:v>
                </c:pt>
                <c:pt idx="251">
                  <c:v>-1.7905534774196061</c:v>
                </c:pt>
                <c:pt idx="252">
                  <c:v>-1.7905534774196035</c:v>
                </c:pt>
                <c:pt idx="253">
                  <c:v>-2.9335534774196033</c:v>
                </c:pt>
                <c:pt idx="254">
                  <c:v>-2.9335534774196033</c:v>
                </c:pt>
                <c:pt idx="255">
                  <c:v>-2.9335544774196034</c:v>
                </c:pt>
                <c:pt idx="256">
                  <c:v>-2.9341033678353465</c:v>
                </c:pt>
                <c:pt idx="257">
                  <c:v>-2.9361489476589755</c:v>
                </c:pt>
                <c:pt idx="258">
                  <c:v>-2.9385655754476279</c:v>
                </c:pt>
                <c:pt idx="259">
                  <c:v>-2.9426996570780308</c:v>
                </c:pt>
                <c:pt idx="260">
                  <c:v>-2.9480178829347556</c:v>
                </c:pt>
                <c:pt idx="261">
                  <c:v>-2.9584695598301205</c:v>
                </c:pt>
                <c:pt idx="262">
                  <c:v>-2.9736540668151985</c:v>
                </c:pt>
                <c:pt idx="263">
                  <c:v>-3.0014604150352548</c:v>
                </c:pt>
                <c:pt idx="264">
                  <c:v>-3.0457015933620104</c:v>
                </c:pt>
                <c:pt idx="265">
                  <c:v>-3.1289874932841313</c:v>
                </c:pt>
                <c:pt idx="266">
                  <c:v>-3.2658039162424291</c:v>
                </c:pt>
                <c:pt idx="267">
                  <c:v>-3.5406033183499224</c:v>
                </c:pt>
                <c:pt idx="268">
                  <c:v>-3.9872099763057673</c:v>
                </c:pt>
                <c:pt idx="269">
                  <c:v>-4.068854642419061</c:v>
                </c:pt>
                <c:pt idx="270">
                  <c:v>-4.0688546424190655</c:v>
                </c:pt>
                <c:pt idx="271">
                  <c:v>-5.2118546424190653</c:v>
                </c:pt>
                <c:pt idx="272">
                  <c:v>-5.2118546424190653</c:v>
                </c:pt>
                <c:pt idx="273">
                  <c:v>-5.2118556424190654</c:v>
                </c:pt>
                <c:pt idx="274">
                  <c:v>-5.2124045328348085</c:v>
                </c:pt>
                <c:pt idx="275">
                  <c:v>-5.2144501126584375</c:v>
                </c:pt>
                <c:pt idx="276">
                  <c:v>-5.2168667404470899</c:v>
                </c:pt>
                <c:pt idx="277">
                  <c:v>-5.2210008220774924</c:v>
                </c:pt>
                <c:pt idx="278">
                  <c:v>-5.2263190479342176</c:v>
                </c:pt>
                <c:pt idx="279">
                  <c:v>-5.2367707248295829</c:v>
                </c:pt>
                <c:pt idx="280">
                  <c:v>-5.2519552318146605</c:v>
                </c:pt>
                <c:pt idx="281">
                  <c:v>-5.2797615800347169</c:v>
                </c:pt>
                <c:pt idx="282">
                  <c:v>-5.3240027583614724</c:v>
                </c:pt>
                <c:pt idx="283">
                  <c:v>-5.4072886582835933</c:v>
                </c:pt>
                <c:pt idx="284">
                  <c:v>-5.5441050812418915</c:v>
                </c:pt>
                <c:pt idx="285">
                  <c:v>-5.8189044833493844</c:v>
                </c:pt>
                <c:pt idx="286">
                  <c:v>-6.2655111413052289</c:v>
                </c:pt>
                <c:pt idx="287">
                  <c:v>-6.347155807418523</c:v>
                </c:pt>
                <c:pt idx="288">
                  <c:v>-6.3471558074185204</c:v>
                </c:pt>
                <c:pt idx="289">
                  <c:v>-7.4901558074185202</c:v>
                </c:pt>
                <c:pt idx="290">
                  <c:v>-7.4901558074185202</c:v>
                </c:pt>
                <c:pt idx="291">
                  <c:v>-7.4901568074185203</c:v>
                </c:pt>
                <c:pt idx="292">
                  <c:v>-7.4907056978342634</c:v>
                </c:pt>
                <c:pt idx="293">
                  <c:v>-7.4927512776578924</c:v>
                </c:pt>
                <c:pt idx="294">
                  <c:v>-7.4951679054465448</c:v>
                </c:pt>
                <c:pt idx="295">
                  <c:v>-7.4993019870769473</c:v>
                </c:pt>
                <c:pt idx="296">
                  <c:v>-7.5046202129336725</c:v>
                </c:pt>
                <c:pt idx="297">
                  <c:v>-7.5150718898290378</c:v>
                </c:pt>
                <c:pt idx="298">
                  <c:v>-7.5302563968141154</c:v>
                </c:pt>
                <c:pt idx="299">
                  <c:v>-7.5580627450341717</c:v>
                </c:pt>
                <c:pt idx="300">
                  <c:v>-7.6023039233609273</c:v>
                </c:pt>
                <c:pt idx="301">
                  <c:v>-7.6855898232830482</c:v>
                </c:pt>
                <c:pt idx="302">
                  <c:v>-7.8224062462413464</c:v>
                </c:pt>
                <c:pt idx="303">
                  <c:v>-8.0972056483488402</c:v>
                </c:pt>
                <c:pt idx="304">
                  <c:v>-8.5438123063046838</c:v>
                </c:pt>
                <c:pt idx="305">
                  <c:v>-8.6254569724179788</c:v>
                </c:pt>
                <c:pt idx="306">
                  <c:v>-8.6254569724179753</c:v>
                </c:pt>
                <c:pt idx="307">
                  <c:v>-9.7684569724179759</c:v>
                </c:pt>
                <c:pt idx="308">
                  <c:v>-9.7684569724179759</c:v>
                </c:pt>
                <c:pt idx="309">
                  <c:v>-9.7684579724179752</c:v>
                </c:pt>
                <c:pt idx="310">
                  <c:v>-9.7690068628337183</c:v>
                </c:pt>
                <c:pt idx="311">
                  <c:v>-9.7710524426573482</c:v>
                </c:pt>
                <c:pt idx="312">
                  <c:v>-9.7734690704459997</c:v>
                </c:pt>
                <c:pt idx="313">
                  <c:v>-9.7776031520764022</c:v>
                </c:pt>
                <c:pt idx="314">
                  <c:v>-9.7829213779331265</c:v>
                </c:pt>
                <c:pt idx="315">
                  <c:v>-9.7933730548284927</c:v>
                </c:pt>
                <c:pt idx="316">
                  <c:v>-9.8085575618135703</c:v>
                </c:pt>
                <c:pt idx="317">
                  <c:v>-9.8363639100336275</c:v>
                </c:pt>
                <c:pt idx="318">
                  <c:v>-9.8806050883603831</c:v>
                </c:pt>
                <c:pt idx="319">
                  <c:v>-9.963890988282504</c:v>
                </c:pt>
                <c:pt idx="320">
                  <c:v>-10.100707411240801</c:v>
                </c:pt>
                <c:pt idx="321">
                  <c:v>-10.375506813348295</c:v>
                </c:pt>
                <c:pt idx="322">
                  <c:v>-10.822113471304139</c:v>
                </c:pt>
                <c:pt idx="323">
                  <c:v>-10.903758137417434</c:v>
                </c:pt>
                <c:pt idx="324">
                  <c:v>-10.903758137417437</c:v>
                </c:pt>
                <c:pt idx="325">
                  <c:v>-12.046758137417438</c:v>
                </c:pt>
                <c:pt idx="326">
                  <c:v>-12.046758137417438</c:v>
                </c:pt>
                <c:pt idx="327">
                  <c:v>-12.046759137417437</c:v>
                </c:pt>
                <c:pt idx="328">
                  <c:v>-12.04730802783318</c:v>
                </c:pt>
                <c:pt idx="329">
                  <c:v>-12.04935360765681</c:v>
                </c:pt>
                <c:pt idx="330">
                  <c:v>-12.051770235445462</c:v>
                </c:pt>
                <c:pt idx="331">
                  <c:v>-12.055904317075864</c:v>
                </c:pt>
                <c:pt idx="332">
                  <c:v>-12.061222542932589</c:v>
                </c:pt>
                <c:pt idx="333">
                  <c:v>-12.071674219827955</c:v>
                </c:pt>
                <c:pt idx="334">
                  <c:v>-12.086858726813032</c:v>
                </c:pt>
                <c:pt idx="335">
                  <c:v>-12.11466507503309</c:v>
                </c:pt>
                <c:pt idx="336">
                  <c:v>-12.158906253359845</c:v>
                </c:pt>
                <c:pt idx="337">
                  <c:v>-12.242192153281966</c:v>
                </c:pt>
                <c:pt idx="338">
                  <c:v>-12.379008576240263</c:v>
                </c:pt>
                <c:pt idx="339">
                  <c:v>-12.653807978347757</c:v>
                </c:pt>
                <c:pt idx="340">
                  <c:v>-13.100414636303601</c:v>
                </c:pt>
                <c:pt idx="341">
                  <c:v>-13.182059302416896</c:v>
                </c:pt>
                <c:pt idx="342">
                  <c:v>-13.182059302416892</c:v>
                </c:pt>
                <c:pt idx="343">
                  <c:v>-14.325059302416893</c:v>
                </c:pt>
                <c:pt idx="344">
                  <c:v>-14.325059302416893</c:v>
                </c:pt>
                <c:pt idx="345">
                  <c:v>-14.325060302416892</c:v>
                </c:pt>
                <c:pt idx="346">
                  <c:v>-14.325609192832635</c:v>
                </c:pt>
                <c:pt idx="347">
                  <c:v>-14.327654772656265</c:v>
                </c:pt>
                <c:pt idx="348">
                  <c:v>-14.330071400444917</c:v>
                </c:pt>
                <c:pt idx="349">
                  <c:v>-14.334205482075319</c:v>
                </c:pt>
                <c:pt idx="350">
                  <c:v>-14.339523707932043</c:v>
                </c:pt>
                <c:pt idx="351">
                  <c:v>-14.34997538482741</c:v>
                </c:pt>
                <c:pt idx="352">
                  <c:v>-14.365159891812487</c:v>
                </c:pt>
                <c:pt idx="353">
                  <c:v>-14.392966240032544</c:v>
                </c:pt>
                <c:pt idx="354">
                  <c:v>-14.4372074183593</c:v>
                </c:pt>
                <c:pt idx="355">
                  <c:v>-14.520493318281421</c:v>
                </c:pt>
                <c:pt idx="356">
                  <c:v>-14.657309741239718</c:v>
                </c:pt>
                <c:pt idx="357">
                  <c:v>-14.932109143347212</c:v>
                </c:pt>
                <c:pt idx="358">
                  <c:v>-15.378715801303056</c:v>
                </c:pt>
                <c:pt idx="359">
                  <c:v>-15.460360467416351</c:v>
                </c:pt>
                <c:pt idx="360">
                  <c:v>-15.460360467416354</c:v>
                </c:pt>
                <c:pt idx="361">
                  <c:v>-16.603360467416355</c:v>
                </c:pt>
                <c:pt idx="362">
                  <c:v>-16.603360467416355</c:v>
                </c:pt>
                <c:pt idx="363">
                  <c:v>-16.603361467416352</c:v>
                </c:pt>
                <c:pt idx="364">
                  <c:v>-16.603910357832095</c:v>
                </c:pt>
                <c:pt idx="365">
                  <c:v>-16.605955937655725</c:v>
                </c:pt>
                <c:pt idx="366">
                  <c:v>-16.60837256544438</c:v>
                </c:pt>
                <c:pt idx="367">
                  <c:v>-16.612506647074781</c:v>
                </c:pt>
                <c:pt idx="368">
                  <c:v>-16.617824872931507</c:v>
                </c:pt>
                <c:pt idx="369">
                  <c:v>-16.628276549826872</c:v>
                </c:pt>
                <c:pt idx="370">
                  <c:v>-16.643461056811951</c:v>
                </c:pt>
                <c:pt idx="371">
                  <c:v>-16.671267405032005</c:v>
                </c:pt>
                <c:pt idx="372">
                  <c:v>-16.715508583358762</c:v>
                </c:pt>
                <c:pt idx="373">
                  <c:v>-16.798794483280883</c:v>
                </c:pt>
                <c:pt idx="374">
                  <c:v>-16.93561090623918</c:v>
                </c:pt>
                <c:pt idx="375">
                  <c:v>-17.210410308346674</c:v>
                </c:pt>
                <c:pt idx="376">
                  <c:v>-17.657016966302518</c:v>
                </c:pt>
                <c:pt idx="377">
                  <c:v>-17.738661632415813</c:v>
                </c:pt>
                <c:pt idx="378">
                  <c:v>-17.738661632415809</c:v>
                </c:pt>
                <c:pt idx="379">
                  <c:v>-18.88166163241581</c:v>
                </c:pt>
                <c:pt idx="380">
                  <c:v>-18.88166163241581</c:v>
                </c:pt>
                <c:pt idx="381">
                  <c:v>-18.881662632415807</c:v>
                </c:pt>
                <c:pt idx="382">
                  <c:v>-18.88221152283155</c:v>
                </c:pt>
                <c:pt idx="383">
                  <c:v>-18.88425710265518</c:v>
                </c:pt>
                <c:pt idx="384">
                  <c:v>-18.886673730443835</c:v>
                </c:pt>
                <c:pt idx="385">
                  <c:v>-18.890807812074236</c:v>
                </c:pt>
                <c:pt idx="386">
                  <c:v>-18.896126037930962</c:v>
                </c:pt>
                <c:pt idx="387">
                  <c:v>-18.906577714826327</c:v>
                </c:pt>
                <c:pt idx="388">
                  <c:v>-18.921762221811406</c:v>
                </c:pt>
                <c:pt idx="389">
                  <c:v>-18.94956857003146</c:v>
                </c:pt>
                <c:pt idx="390">
                  <c:v>-18.993809748358217</c:v>
                </c:pt>
                <c:pt idx="391">
                  <c:v>-19.077095648280338</c:v>
                </c:pt>
                <c:pt idx="392">
                  <c:v>-19.213912071238635</c:v>
                </c:pt>
                <c:pt idx="393">
                  <c:v>-19.488711473346129</c:v>
                </c:pt>
                <c:pt idx="394">
                  <c:v>-19.935318131301972</c:v>
                </c:pt>
                <c:pt idx="395">
                  <c:v>-20.016962797415268</c:v>
                </c:pt>
                <c:pt idx="396">
                  <c:v>-20.016962797415264</c:v>
                </c:pt>
                <c:pt idx="397">
                  <c:v>-21.159962797415265</c:v>
                </c:pt>
                <c:pt idx="398">
                  <c:v>-21.159962797415265</c:v>
                </c:pt>
                <c:pt idx="399">
                  <c:v>-21.159963797415262</c:v>
                </c:pt>
                <c:pt idx="400">
                  <c:v>-21.160512687831005</c:v>
                </c:pt>
                <c:pt idx="401">
                  <c:v>-21.162558267654635</c:v>
                </c:pt>
                <c:pt idx="402">
                  <c:v>-21.16497489544329</c:v>
                </c:pt>
                <c:pt idx="403">
                  <c:v>-21.169108977073691</c:v>
                </c:pt>
                <c:pt idx="404">
                  <c:v>-21.174427202930417</c:v>
                </c:pt>
                <c:pt idx="405">
                  <c:v>-21.184878879825781</c:v>
                </c:pt>
                <c:pt idx="406">
                  <c:v>-21.200063386810861</c:v>
                </c:pt>
                <c:pt idx="407">
                  <c:v>-21.227869735030914</c:v>
                </c:pt>
                <c:pt idx="408">
                  <c:v>-21.272110913357672</c:v>
                </c:pt>
                <c:pt idx="409">
                  <c:v>-21.355396813279793</c:v>
                </c:pt>
                <c:pt idx="410">
                  <c:v>-21.49221323623809</c:v>
                </c:pt>
                <c:pt idx="411">
                  <c:v>-21.767012638345584</c:v>
                </c:pt>
                <c:pt idx="412">
                  <c:v>-22.213619296301427</c:v>
                </c:pt>
                <c:pt idx="413">
                  <c:v>-22.295263962414722</c:v>
                </c:pt>
                <c:pt idx="414">
                  <c:v>-22.295263962414726</c:v>
                </c:pt>
                <c:pt idx="415">
                  <c:v>-23.438263962414727</c:v>
                </c:pt>
                <c:pt idx="416">
                  <c:v>-23.438263962414727</c:v>
                </c:pt>
                <c:pt idx="417">
                  <c:v>-23.438264962414724</c:v>
                </c:pt>
                <c:pt idx="418">
                  <c:v>-23.438813852830467</c:v>
                </c:pt>
                <c:pt idx="419">
                  <c:v>-23.440859432654097</c:v>
                </c:pt>
                <c:pt idx="420">
                  <c:v>-23.443276060442752</c:v>
                </c:pt>
                <c:pt idx="421">
                  <c:v>-23.447410142073153</c:v>
                </c:pt>
                <c:pt idx="422">
                  <c:v>-23.452728367929879</c:v>
                </c:pt>
                <c:pt idx="423">
                  <c:v>-23.463180044825243</c:v>
                </c:pt>
                <c:pt idx="424">
                  <c:v>-23.478364551810323</c:v>
                </c:pt>
                <c:pt idx="425">
                  <c:v>-23.506170900030376</c:v>
                </c:pt>
                <c:pt idx="426">
                  <c:v>-23.550412078357134</c:v>
                </c:pt>
                <c:pt idx="427">
                  <c:v>-23.633697978279255</c:v>
                </c:pt>
                <c:pt idx="428">
                  <c:v>-23.770514401237552</c:v>
                </c:pt>
                <c:pt idx="429">
                  <c:v>-24.045313803345046</c:v>
                </c:pt>
                <c:pt idx="430">
                  <c:v>-24.491920461300889</c:v>
                </c:pt>
                <c:pt idx="431">
                  <c:v>-24.573565127414184</c:v>
                </c:pt>
                <c:pt idx="432">
                  <c:v>-24.573565127414181</c:v>
                </c:pt>
                <c:pt idx="433">
                  <c:v>-25.716565127414182</c:v>
                </c:pt>
                <c:pt idx="434">
                  <c:v>-25.716565127414182</c:v>
                </c:pt>
                <c:pt idx="435">
                  <c:v>-25.716566127414179</c:v>
                </c:pt>
                <c:pt idx="436">
                  <c:v>-25.717115017829922</c:v>
                </c:pt>
                <c:pt idx="437">
                  <c:v>-25.719160597653552</c:v>
                </c:pt>
                <c:pt idx="438">
                  <c:v>-25.721577225442207</c:v>
                </c:pt>
                <c:pt idx="439">
                  <c:v>-25.725711307072608</c:v>
                </c:pt>
                <c:pt idx="440">
                  <c:v>-25.731029532929334</c:v>
                </c:pt>
                <c:pt idx="441">
                  <c:v>-25.741481209824698</c:v>
                </c:pt>
                <c:pt idx="442">
                  <c:v>-25.756665716809778</c:v>
                </c:pt>
                <c:pt idx="443">
                  <c:v>-25.784472065029831</c:v>
                </c:pt>
                <c:pt idx="444">
                  <c:v>-25.828713243356589</c:v>
                </c:pt>
                <c:pt idx="445">
                  <c:v>-25.91199914327871</c:v>
                </c:pt>
                <c:pt idx="446">
                  <c:v>-26.048815566237007</c:v>
                </c:pt>
                <c:pt idx="447">
                  <c:v>-26.323614968344501</c:v>
                </c:pt>
                <c:pt idx="448">
                  <c:v>-26.770221626300344</c:v>
                </c:pt>
                <c:pt idx="449">
                  <c:v>-26.851866292413639</c:v>
                </c:pt>
                <c:pt idx="450">
                  <c:v>-26.851866292413636</c:v>
                </c:pt>
                <c:pt idx="451">
                  <c:v>-27.994866292413636</c:v>
                </c:pt>
                <c:pt idx="452">
                  <c:v>-27.994866292413636</c:v>
                </c:pt>
                <c:pt idx="453">
                  <c:v>-27.994867292413634</c:v>
                </c:pt>
                <c:pt idx="454">
                  <c:v>-27.995416182829377</c:v>
                </c:pt>
                <c:pt idx="455">
                  <c:v>-27.997461762653007</c:v>
                </c:pt>
                <c:pt idx="456">
                  <c:v>-27.999878390441662</c:v>
                </c:pt>
                <c:pt idx="457">
                  <c:v>-28.004012472072063</c:v>
                </c:pt>
                <c:pt idx="458">
                  <c:v>-28.009330697928789</c:v>
                </c:pt>
                <c:pt idx="459">
                  <c:v>-28.019782374824153</c:v>
                </c:pt>
                <c:pt idx="460">
                  <c:v>-28.034966881809233</c:v>
                </c:pt>
                <c:pt idx="461">
                  <c:v>-28.062773230029286</c:v>
                </c:pt>
                <c:pt idx="462">
                  <c:v>-28.107014408356044</c:v>
                </c:pt>
                <c:pt idx="463">
                  <c:v>-28.190300308278164</c:v>
                </c:pt>
                <c:pt idx="464">
                  <c:v>-28.327116731236462</c:v>
                </c:pt>
                <c:pt idx="465">
                  <c:v>-28.601916133343956</c:v>
                </c:pt>
                <c:pt idx="466">
                  <c:v>-29.048522791299799</c:v>
                </c:pt>
                <c:pt idx="467">
                  <c:v>-29.130167457413094</c:v>
                </c:pt>
                <c:pt idx="468">
                  <c:v>-29.130167457413098</c:v>
                </c:pt>
                <c:pt idx="469">
                  <c:v>-30.273167457413098</c:v>
                </c:pt>
                <c:pt idx="470">
                  <c:v>-30.273167457413098</c:v>
                </c:pt>
                <c:pt idx="471">
                  <c:v>-30.273168457413096</c:v>
                </c:pt>
                <c:pt idx="472">
                  <c:v>-30.273717347828839</c:v>
                </c:pt>
                <c:pt idx="473">
                  <c:v>-30.275762927652469</c:v>
                </c:pt>
                <c:pt idx="474">
                  <c:v>-30.278179555441124</c:v>
                </c:pt>
                <c:pt idx="475">
                  <c:v>-30.282313637071525</c:v>
                </c:pt>
                <c:pt idx="476">
                  <c:v>-30.287631862928251</c:v>
                </c:pt>
                <c:pt idx="477">
                  <c:v>-30.298083539823615</c:v>
                </c:pt>
                <c:pt idx="478">
                  <c:v>-30.313268046808695</c:v>
                </c:pt>
                <c:pt idx="479">
                  <c:v>-30.341074395028748</c:v>
                </c:pt>
                <c:pt idx="480">
                  <c:v>-30.385315573355506</c:v>
                </c:pt>
                <c:pt idx="481">
                  <c:v>-30.468601473277626</c:v>
                </c:pt>
                <c:pt idx="482">
                  <c:v>-30.605417896235924</c:v>
                </c:pt>
                <c:pt idx="483">
                  <c:v>-30.880217298343418</c:v>
                </c:pt>
                <c:pt idx="484">
                  <c:v>-31.326823956299261</c:v>
                </c:pt>
                <c:pt idx="485">
                  <c:v>-31.408468622412556</c:v>
                </c:pt>
                <c:pt idx="486">
                  <c:v>-31.408468622412553</c:v>
                </c:pt>
                <c:pt idx="487">
                  <c:v>-32.55146862241255</c:v>
                </c:pt>
                <c:pt idx="488">
                  <c:v>-32.55146862241255</c:v>
                </c:pt>
                <c:pt idx="489">
                  <c:v>-32.551469622412554</c:v>
                </c:pt>
                <c:pt idx="490">
                  <c:v>-32.552018512828298</c:v>
                </c:pt>
                <c:pt idx="491">
                  <c:v>-32.554064092651927</c:v>
                </c:pt>
                <c:pt idx="492">
                  <c:v>-32.556480720440575</c:v>
                </c:pt>
                <c:pt idx="493">
                  <c:v>-32.56061480207098</c:v>
                </c:pt>
                <c:pt idx="494">
                  <c:v>-32.565933027927706</c:v>
                </c:pt>
                <c:pt idx="495">
                  <c:v>-32.57638470482307</c:v>
                </c:pt>
                <c:pt idx="496">
                  <c:v>-32.591569211808149</c:v>
                </c:pt>
                <c:pt idx="497">
                  <c:v>-32.619375560028203</c:v>
                </c:pt>
                <c:pt idx="498">
                  <c:v>-32.66361673835496</c:v>
                </c:pt>
                <c:pt idx="499">
                  <c:v>-32.746902638277078</c:v>
                </c:pt>
                <c:pt idx="500">
                  <c:v>-32.883719061235375</c:v>
                </c:pt>
                <c:pt idx="501">
                  <c:v>-33.158518463342872</c:v>
                </c:pt>
                <c:pt idx="502">
                  <c:v>-33.60512512129872</c:v>
                </c:pt>
                <c:pt idx="503">
                  <c:v>-33.686769787412011</c:v>
                </c:pt>
                <c:pt idx="504">
                  <c:v>-33.686769787412004</c:v>
                </c:pt>
                <c:pt idx="505">
                  <c:v>-34.829769787412005</c:v>
                </c:pt>
                <c:pt idx="506">
                  <c:v>-34.829769787412005</c:v>
                </c:pt>
                <c:pt idx="507">
                  <c:v>-34.829770787412002</c:v>
                </c:pt>
                <c:pt idx="508">
                  <c:v>-34.830319677827745</c:v>
                </c:pt>
                <c:pt idx="509">
                  <c:v>-34.832365257651375</c:v>
                </c:pt>
                <c:pt idx="510">
                  <c:v>-34.83478188544003</c:v>
                </c:pt>
                <c:pt idx="511">
                  <c:v>-34.838915967070434</c:v>
                </c:pt>
                <c:pt idx="512">
                  <c:v>-34.844234192927154</c:v>
                </c:pt>
                <c:pt idx="513">
                  <c:v>-34.854685869822518</c:v>
                </c:pt>
                <c:pt idx="514">
                  <c:v>-34.869870376807597</c:v>
                </c:pt>
                <c:pt idx="515">
                  <c:v>-34.897676725027658</c:v>
                </c:pt>
                <c:pt idx="516">
                  <c:v>-34.941917903354408</c:v>
                </c:pt>
                <c:pt idx="517">
                  <c:v>-35.025203803276533</c:v>
                </c:pt>
                <c:pt idx="518">
                  <c:v>-35.16202022623483</c:v>
                </c:pt>
                <c:pt idx="519">
                  <c:v>-35.43681962834232</c:v>
                </c:pt>
                <c:pt idx="520">
                  <c:v>-35.883426286298167</c:v>
                </c:pt>
                <c:pt idx="521">
                  <c:v>-35.965070952411459</c:v>
                </c:pt>
                <c:pt idx="522">
                  <c:v>-35.965070952411466</c:v>
                </c:pt>
                <c:pt idx="523">
                  <c:v>-37.108070952411467</c:v>
                </c:pt>
                <c:pt idx="524">
                  <c:v>-37.108070952411467</c:v>
                </c:pt>
                <c:pt idx="525">
                  <c:v>-37.108071952411464</c:v>
                </c:pt>
                <c:pt idx="526">
                  <c:v>-37.108620842827207</c:v>
                </c:pt>
                <c:pt idx="527">
                  <c:v>-37.110666422650837</c:v>
                </c:pt>
                <c:pt idx="528">
                  <c:v>-37.113083050439492</c:v>
                </c:pt>
                <c:pt idx="529">
                  <c:v>-37.117217132069896</c:v>
                </c:pt>
                <c:pt idx="530">
                  <c:v>-37.122535357926616</c:v>
                </c:pt>
                <c:pt idx="531">
                  <c:v>-37.13298703482198</c:v>
                </c:pt>
                <c:pt idx="532">
                  <c:v>-37.148171541807059</c:v>
                </c:pt>
                <c:pt idx="533">
                  <c:v>-37.17597789002712</c:v>
                </c:pt>
                <c:pt idx="534">
                  <c:v>-37.22021906835387</c:v>
                </c:pt>
                <c:pt idx="535">
                  <c:v>-37.303504968275995</c:v>
                </c:pt>
                <c:pt idx="536">
                  <c:v>-37.440321391234292</c:v>
                </c:pt>
                <c:pt idx="537">
                  <c:v>-37.715120793341782</c:v>
                </c:pt>
                <c:pt idx="538">
                  <c:v>-38.161727451297629</c:v>
                </c:pt>
                <c:pt idx="539">
                  <c:v>-38.243372117410921</c:v>
                </c:pt>
                <c:pt idx="540">
                  <c:v>-38.243372117410928</c:v>
                </c:pt>
                <c:pt idx="541">
                  <c:v>-39.386372117410929</c:v>
                </c:pt>
                <c:pt idx="542">
                  <c:v>-39.386372117410929</c:v>
                </c:pt>
                <c:pt idx="543">
                  <c:v>-39.386373117410926</c:v>
                </c:pt>
                <c:pt idx="544">
                  <c:v>-39.386922007826669</c:v>
                </c:pt>
                <c:pt idx="545">
                  <c:v>-39.388967587650299</c:v>
                </c:pt>
                <c:pt idx="546">
                  <c:v>-39.391384215438954</c:v>
                </c:pt>
                <c:pt idx="547">
                  <c:v>-39.395518297069358</c:v>
                </c:pt>
                <c:pt idx="548">
                  <c:v>-39.400836522926078</c:v>
                </c:pt>
                <c:pt idx="549">
                  <c:v>-39.411288199821442</c:v>
                </c:pt>
                <c:pt idx="550">
                  <c:v>-39.426472706806521</c:v>
                </c:pt>
                <c:pt idx="551">
                  <c:v>-39.454279055026582</c:v>
                </c:pt>
                <c:pt idx="552">
                  <c:v>-39.498520233353332</c:v>
                </c:pt>
                <c:pt idx="553">
                  <c:v>-39.581806133275457</c:v>
                </c:pt>
                <c:pt idx="554">
                  <c:v>-39.718622556233754</c:v>
                </c:pt>
                <c:pt idx="555">
                  <c:v>-39.993421958341244</c:v>
                </c:pt>
                <c:pt idx="556">
                  <c:v>-40.440028616297091</c:v>
                </c:pt>
                <c:pt idx="557">
                  <c:v>-40.521673282410383</c:v>
                </c:pt>
                <c:pt idx="558">
                  <c:v>-40.521673282410376</c:v>
                </c:pt>
                <c:pt idx="559">
                  <c:v>-41.664673282410376</c:v>
                </c:pt>
                <c:pt idx="560">
                  <c:v>-41.664673282410376</c:v>
                </c:pt>
                <c:pt idx="561">
                  <c:v>-41.664674282410374</c:v>
                </c:pt>
                <c:pt idx="562">
                  <c:v>-41.665223172826117</c:v>
                </c:pt>
                <c:pt idx="563">
                  <c:v>-41.667268752649747</c:v>
                </c:pt>
                <c:pt idx="564">
                  <c:v>-41.669685380438402</c:v>
                </c:pt>
                <c:pt idx="565">
                  <c:v>-41.673819462068806</c:v>
                </c:pt>
                <c:pt idx="566">
                  <c:v>-41.679137687925525</c:v>
                </c:pt>
                <c:pt idx="567">
                  <c:v>-41.68958936482089</c:v>
                </c:pt>
                <c:pt idx="568">
                  <c:v>-41.704773871805969</c:v>
                </c:pt>
                <c:pt idx="569">
                  <c:v>-41.73258022002603</c:v>
                </c:pt>
                <c:pt idx="570">
                  <c:v>-41.77682139835278</c:v>
                </c:pt>
                <c:pt idx="571">
                  <c:v>-41.860107298274905</c:v>
                </c:pt>
                <c:pt idx="572">
                  <c:v>-41.996923721233202</c:v>
                </c:pt>
                <c:pt idx="573">
                  <c:v>-42.271723123340692</c:v>
                </c:pt>
                <c:pt idx="574">
                  <c:v>-42.718329781296539</c:v>
                </c:pt>
                <c:pt idx="575">
                  <c:v>-42.799974447409831</c:v>
                </c:pt>
                <c:pt idx="576">
                  <c:v>-42.799974447409838</c:v>
                </c:pt>
                <c:pt idx="577">
                  <c:v>-43.942974447409838</c:v>
                </c:pt>
                <c:pt idx="578">
                  <c:v>-43.942974447409838</c:v>
                </c:pt>
                <c:pt idx="579">
                  <c:v>-43.942975447409836</c:v>
                </c:pt>
                <c:pt idx="580">
                  <c:v>-43.943524337825579</c:v>
                </c:pt>
                <c:pt idx="581">
                  <c:v>-43.945569917649209</c:v>
                </c:pt>
                <c:pt idx="582">
                  <c:v>-43.947986545437864</c:v>
                </c:pt>
                <c:pt idx="583">
                  <c:v>-43.952120627068268</c:v>
                </c:pt>
                <c:pt idx="584">
                  <c:v>-43.957438852924987</c:v>
                </c:pt>
                <c:pt idx="585">
                  <c:v>-43.967890529820352</c:v>
                </c:pt>
                <c:pt idx="586">
                  <c:v>-43.983075036805431</c:v>
                </c:pt>
                <c:pt idx="587">
                  <c:v>-44.010881385025492</c:v>
                </c:pt>
                <c:pt idx="588">
                  <c:v>-44.055122563352242</c:v>
                </c:pt>
                <c:pt idx="589">
                  <c:v>-44.138408463274367</c:v>
                </c:pt>
                <c:pt idx="590">
                  <c:v>-44.275224886232664</c:v>
                </c:pt>
                <c:pt idx="591">
                  <c:v>-44.550024288340154</c:v>
                </c:pt>
                <c:pt idx="592">
                  <c:v>-44.996630946296001</c:v>
                </c:pt>
                <c:pt idx="593">
                  <c:v>-45.078275612409293</c:v>
                </c:pt>
                <c:pt idx="594">
                  <c:v>-45.0782756124093</c:v>
                </c:pt>
                <c:pt idx="595">
                  <c:v>-46.2212756124093</c:v>
                </c:pt>
                <c:pt idx="596">
                  <c:v>-46.2212756124093</c:v>
                </c:pt>
                <c:pt idx="597">
                  <c:v>-46.221276612409298</c:v>
                </c:pt>
                <c:pt idx="598">
                  <c:v>-46.221825502825041</c:v>
                </c:pt>
                <c:pt idx="599">
                  <c:v>-46.223871082648671</c:v>
                </c:pt>
                <c:pt idx="600">
                  <c:v>-46.226287710437326</c:v>
                </c:pt>
                <c:pt idx="601">
                  <c:v>-46.23042179206773</c:v>
                </c:pt>
                <c:pt idx="602">
                  <c:v>-46.235740017924449</c:v>
                </c:pt>
                <c:pt idx="603">
                  <c:v>-46.246191694819814</c:v>
                </c:pt>
                <c:pt idx="604">
                  <c:v>-46.261376201804893</c:v>
                </c:pt>
                <c:pt idx="605">
                  <c:v>-46.289182550024954</c:v>
                </c:pt>
                <c:pt idx="606">
                  <c:v>-46.333423728351704</c:v>
                </c:pt>
                <c:pt idx="607">
                  <c:v>-46.416709628273829</c:v>
                </c:pt>
                <c:pt idx="608">
                  <c:v>-46.553526051232126</c:v>
                </c:pt>
                <c:pt idx="609">
                  <c:v>-46.828325453339616</c:v>
                </c:pt>
                <c:pt idx="610">
                  <c:v>-47.274932111295463</c:v>
                </c:pt>
                <c:pt idx="611">
                  <c:v>-47.356576777408755</c:v>
                </c:pt>
                <c:pt idx="612">
                  <c:v>-47.356576777408748</c:v>
                </c:pt>
                <c:pt idx="613">
                  <c:v>-48.499576777408748</c:v>
                </c:pt>
                <c:pt idx="614">
                  <c:v>-48.499576777408748</c:v>
                </c:pt>
                <c:pt idx="615">
                  <c:v>-48.499577777408746</c:v>
                </c:pt>
                <c:pt idx="616">
                  <c:v>-48.500126667824489</c:v>
                </c:pt>
                <c:pt idx="617">
                  <c:v>-48.502172247648119</c:v>
                </c:pt>
                <c:pt idx="618">
                  <c:v>-48.504588875436774</c:v>
                </c:pt>
                <c:pt idx="619">
                  <c:v>-48.508722957067178</c:v>
                </c:pt>
                <c:pt idx="620">
                  <c:v>-48.514041182923897</c:v>
                </c:pt>
                <c:pt idx="621">
                  <c:v>-48.524492859819262</c:v>
                </c:pt>
                <c:pt idx="622">
                  <c:v>-48.539677366804341</c:v>
                </c:pt>
                <c:pt idx="623">
                  <c:v>-48.567483715024402</c:v>
                </c:pt>
                <c:pt idx="624">
                  <c:v>-48.611724893351152</c:v>
                </c:pt>
                <c:pt idx="625">
                  <c:v>-48.695010793273276</c:v>
                </c:pt>
                <c:pt idx="626">
                  <c:v>-48.831827216231574</c:v>
                </c:pt>
                <c:pt idx="627">
                  <c:v>-49.106626618339064</c:v>
                </c:pt>
                <c:pt idx="628">
                  <c:v>-49.553233276294911</c:v>
                </c:pt>
                <c:pt idx="629">
                  <c:v>-49.634877942408203</c:v>
                </c:pt>
                <c:pt idx="630">
                  <c:v>-49.63487794240821</c:v>
                </c:pt>
                <c:pt idx="631">
                  <c:v>-50.77787794240821</c:v>
                </c:pt>
                <c:pt idx="632">
                  <c:v>-50.77787794240821</c:v>
                </c:pt>
                <c:pt idx="633">
                  <c:v>-50.777878942408208</c:v>
                </c:pt>
                <c:pt idx="634">
                  <c:v>-50.778427832823951</c:v>
                </c:pt>
                <c:pt idx="635">
                  <c:v>-50.780473412647581</c:v>
                </c:pt>
                <c:pt idx="636">
                  <c:v>-50.782890040436236</c:v>
                </c:pt>
                <c:pt idx="637">
                  <c:v>-50.78702412206664</c:v>
                </c:pt>
                <c:pt idx="638">
                  <c:v>-50.792342347923359</c:v>
                </c:pt>
                <c:pt idx="639">
                  <c:v>-50.802794024818724</c:v>
                </c:pt>
                <c:pt idx="640">
                  <c:v>-50.817978531803803</c:v>
                </c:pt>
                <c:pt idx="641">
                  <c:v>-50.845784880023864</c:v>
                </c:pt>
                <c:pt idx="642">
                  <c:v>-50.890026058350614</c:v>
                </c:pt>
                <c:pt idx="643">
                  <c:v>-50.973311958272738</c:v>
                </c:pt>
                <c:pt idx="644">
                  <c:v>-51.110128381231036</c:v>
                </c:pt>
                <c:pt idx="645">
                  <c:v>-51.384927783338526</c:v>
                </c:pt>
                <c:pt idx="646">
                  <c:v>-51.831534441294373</c:v>
                </c:pt>
                <c:pt idx="647">
                  <c:v>-51.913179107407665</c:v>
                </c:pt>
                <c:pt idx="648">
                  <c:v>-51.913179107407672</c:v>
                </c:pt>
                <c:pt idx="649">
                  <c:v>-53.056179107407672</c:v>
                </c:pt>
                <c:pt idx="650">
                  <c:v>-53.056179107407672</c:v>
                </c:pt>
                <c:pt idx="651">
                  <c:v>-53.05618010740767</c:v>
                </c:pt>
                <c:pt idx="652">
                  <c:v>-53.056728997823413</c:v>
                </c:pt>
                <c:pt idx="653">
                  <c:v>-53.058774577647043</c:v>
                </c:pt>
                <c:pt idx="654">
                  <c:v>-53.061191205435698</c:v>
                </c:pt>
                <c:pt idx="655">
                  <c:v>-53.065325287066102</c:v>
                </c:pt>
                <c:pt idx="656">
                  <c:v>-53.070643512922821</c:v>
                </c:pt>
                <c:pt idx="657">
                  <c:v>-53.081095189818186</c:v>
                </c:pt>
                <c:pt idx="658">
                  <c:v>-53.096279696803265</c:v>
                </c:pt>
                <c:pt idx="659">
                  <c:v>-53.124086045023326</c:v>
                </c:pt>
                <c:pt idx="660">
                  <c:v>-53.168327223350076</c:v>
                </c:pt>
                <c:pt idx="661">
                  <c:v>-53.2516131232722</c:v>
                </c:pt>
                <c:pt idx="662">
                  <c:v>-53.388429546230498</c:v>
                </c:pt>
                <c:pt idx="663">
                  <c:v>-53.663228948337988</c:v>
                </c:pt>
                <c:pt idx="664">
                  <c:v>-54.109835606293835</c:v>
                </c:pt>
                <c:pt idx="665">
                  <c:v>-54.191480272407127</c:v>
                </c:pt>
                <c:pt idx="666">
                  <c:v>-54.191480272407119</c:v>
                </c:pt>
                <c:pt idx="667">
                  <c:v>-55.33448027240712</c:v>
                </c:pt>
                <c:pt idx="668">
                  <c:v>-55.33448027240712</c:v>
                </c:pt>
                <c:pt idx="669">
                  <c:v>-55.334481272407118</c:v>
                </c:pt>
                <c:pt idx="670">
                  <c:v>-55.335030162822861</c:v>
                </c:pt>
                <c:pt idx="671">
                  <c:v>-55.337075742646491</c:v>
                </c:pt>
                <c:pt idx="672">
                  <c:v>-55.339492370435146</c:v>
                </c:pt>
                <c:pt idx="673">
                  <c:v>-55.34362645206555</c:v>
                </c:pt>
                <c:pt idx="674">
                  <c:v>-55.348944677922269</c:v>
                </c:pt>
                <c:pt idx="675">
                  <c:v>-55.359396354817633</c:v>
                </c:pt>
              </c:numCache>
            </c:numRef>
          </c:xVal>
          <c:yVal>
            <c:numRef>
              <c:f>V_SG_1_V_SL_1_1cP!$AB$56:$AB$731</c:f>
              <c:numCache>
                <c:formatCode>General</c:formatCode>
                <c:ptCount val="676"/>
                <c:pt idx="0">
                  <c:v>0.77145643900915783</c:v>
                </c:pt>
                <c:pt idx="1">
                  <c:v>0.77145643900915783</c:v>
                </c:pt>
                <c:pt idx="2">
                  <c:v>0.77068498257014872</c:v>
                </c:pt>
                <c:pt idx="3">
                  <c:v>0.77067300983892906</c:v>
                </c:pt>
                <c:pt idx="4">
                  <c:v>0.76448695437332481</c:v>
                </c:pt>
                <c:pt idx="5">
                  <c:v>0.7462179928210797</c:v>
                </c:pt>
                <c:pt idx="6">
                  <c:v>0.73027266839631366</c:v>
                </c:pt>
                <c:pt idx="7">
                  <c:v>0.7101552774493437</c:v>
                </c:pt>
                <c:pt idx="8">
                  <c:v>0.69122254011085482</c:v>
                </c:pt>
                <c:pt idx="9">
                  <c:v>0.66499411019811316</c:v>
                </c:pt>
                <c:pt idx="10">
                  <c:v>0.63909697400592513</c:v>
                </c:pt>
                <c:pt idx="11">
                  <c:v>0.60781973946339873</c:v>
                </c:pt>
                <c:pt idx="12">
                  <c:v>0.57612627611480016</c:v>
                </c:pt>
                <c:pt idx="13">
                  <c:v>0.53973940308666546</c:v>
                </c:pt>
                <c:pt idx="14">
                  <c:v>0.50459598065778399</c:v>
                </c:pt>
                <c:pt idx="15">
                  <c:v>0.4654409702187336</c:v>
                </c:pt>
                <c:pt idx="16">
                  <c:v>0.43134659976949657</c:v>
                </c:pt>
                <c:pt idx="17">
                  <c:v>0.42690955700104</c:v>
                </c:pt>
                <c:pt idx="18">
                  <c:v>0.77145643900915783</c:v>
                </c:pt>
                <c:pt idx="19">
                  <c:v>0.77145643900915783</c:v>
                </c:pt>
                <c:pt idx="20">
                  <c:v>0.77068498257014872</c:v>
                </c:pt>
                <c:pt idx="21">
                  <c:v>0.77067300983892906</c:v>
                </c:pt>
                <c:pt idx="22">
                  <c:v>0.76448695437332481</c:v>
                </c:pt>
                <c:pt idx="23">
                  <c:v>0.7462179928210797</c:v>
                </c:pt>
                <c:pt idx="24">
                  <c:v>0.73027266839631366</c:v>
                </c:pt>
                <c:pt idx="25">
                  <c:v>0.7101552774493437</c:v>
                </c:pt>
                <c:pt idx="26">
                  <c:v>0.69122254011085482</c:v>
                </c:pt>
                <c:pt idx="27">
                  <c:v>0.66499411019811316</c:v>
                </c:pt>
                <c:pt idx="28">
                  <c:v>0.63909697400592513</c:v>
                </c:pt>
                <c:pt idx="29">
                  <c:v>0.60781973946339873</c:v>
                </c:pt>
                <c:pt idx="30">
                  <c:v>0.57612627611480016</c:v>
                </c:pt>
                <c:pt idx="31">
                  <c:v>0.53973940308666546</c:v>
                </c:pt>
                <c:pt idx="32">
                  <c:v>0.50459598065778399</c:v>
                </c:pt>
                <c:pt idx="33">
                  <c:v>0.4654409702187336</c:v>
                </c:pt>
                <c:pt idx="34">
                  <c:v>0.43134659976949657</c:v>
                </c:pt>
                <c:pt idx="35">
                  <c:v>0.42690955700104</c:v>
                </c:pt>
                <c:pt idx="36">
                  <c:v>0.77145643900915783</c:v>
                </c:pt>
                <c:pt idx="37">
                  <c:v>0.77145643900915783</c:v>
                </c:pt>
                <c:pt idx="38">
                  <c:v>0.77068498257014872</c:v>
                </c:pt>
                <c:pt idx="39">
                  <c:v>0.77067300983892906</c:v>
                </c:pt>
                <c:pt idx="40">
                  <c:v>0.76448695437332481</c:v>
                </c:pt>
                <c:pt idx="41">
                  <c:v>0.7462179928210797</c:v>
                </c:pt>
                <c:pt idx="42">
                  <c:v>0.73027266839631366</c:v>
                </c:pt>
                <c:pt idx="43">
                  <c:v>0.7101552774493437</c:v>
                </c:pt>
                <c:pt idx="44">
                  <c:v>0.69122254011085482</c:v>
                </c:pt>
                <c:pt idx="45">
                  <c:v>0.66499411019811316</c:v>
                </c:pt>
                <c:pt idx="46">
                  <c:v>0.63909697400592513</c:v>
                </c:pt>
                <c:pt idx="47">
                  <c:v>0.60781973946339873</c:v>
                </c:pt>
                <c:pt idx="48">
                  <c:v>0.57612627611480016</c:v>
                </c:pt>
                <c:pt idx="49">
                  <c:v>0.53973940308666546</c:v>
                </c:pt>
                <c:pt idx="50">
                  <c:v>0.50459598065778399</c:v>
                </c:pt>
                <c:pt idx="51">
                  <c:v>0.4654409702187336</c:v>
                </c:pt>
                <c:pt idx="52">
                  <c:v>0.43134659976949657</c:v>
                </c:pt>
                <c:pt idx="53">
                  <c:v>0.42690955700104</c:v>
                </c:pt>
                <c:pt idx="54">
                  <c:v>0.77145643900915783</c:v>
                </c:pt>
                <c:pt idx="55">
                  <c:v>0.77145643900915783</c:v>
                </c:pt>
                <c:pt idx="56">
                  <c:v>0.77068498257014872</c:v>
                </c:pt>
                <c:pt idx="57">
                  <c:v>0.77067300983892906</c:v>
                </c:pt>
                <c:pt idx="58">
                  <c:v>0.76448695437332481</c:v>
                </c:pt>
                <c:pt idx="59">
                  <c:v>0.7462179928210797</c:v>
                </c:pt>
                <c:pt idx="60">
                  <c:v>0.73027266839631366</c:v>
                </c:pt>
                <c:pt idx="61">
                  <c:v>0.7101552774493437</c:v>
                </c:pt>
                <c:pt idx="62">
                  <c:v>0.69122254011085482</c:v>
                </c:pt>
                <c:pt idx="63">
                  <c:v>0.66499411019811316</c:v>
                </c:pt>
                <c:pt idx="64">
                  <c:v>0.63909697400592513</c:v>
                </c:pt>
                <c:pt idx="65">
                  <c:v>0.60781973946339873</c:v>
                </c:pt>
                <c:pt idx="66">
                  <c:v>0.57612627611480016</c:v>
                </c:pt>
                <c:pt idx="67">
                  <c:v>0.53973940308666546</c:v>
                </c:pt>
                <c:pt idx="68">
                  <c:v>0.50459598065778399</c:v>
                </c:pt>
                <c:pt idx="69">
                  <c:v>0.4654409702187336</c:v>
                </c:pt>
                <c:pt idx="70">
                  <c:v>0.43134659976949657</c:v>
                </c:pt>
                <c:pt idx="71">
                  <c:v>0.42690955700104</c:v>
                </c:pt>
                <c:pt idx="72">
                  <c:v>0.77145643900915783</c:v>
                </c:pt>
                <c:pt idx="73">
                  <c:v>0.77145643900915783</c:v>
                </c:pt>
                <c:pt idx="74">
                  <c:v>0.77068498257014872</c:v>
                </c:pt>
                <c:pt idx="75">
                  <c:v>0.77067300983892906</c:v>
                </c:pt>
                <c:pt idx="76">
                  <c:v>0.76448695437332481</c:v>
                </c:pt>
                <c:pt idx="77">
                  <c:v>0.7462179928210797</c:v>
                </c:pt>
                <c:pt idx="78">
                  <c:v>0.73027266839631366</c:v>
                </c:pt>
                <c:pt idx="79">
                  <c:v>0.7101552774493437</c:v>
                </c:pt>
                <c:pt idx="80">
                  <c:v>0.69122254011085482</c:v>
                </c:pt>
                <c:pt idx="81">
                  <c:v>0.66499411019811316</c:v>
                </c:pt>
                <c:pt idx="82">
                  <c:v>0.63909697400592513</c:v>
                </c:pt>
                <c:pt idx="83">
                  <c:v>0.60781973946339873</c:v>
                </c:pt>
                <c:pt idx="84">
                  <c:v>0.57612627611480016</c:v>
                </c:pt>
                <c:pt idx="85">
                  <c:v>0.53973940308666546</c:v>
                </c:pt>
                <c:pt idx="86">
                  <c:v>0.50459598065778399</c:v>
                </c:pt>
                <c:pt idx="87">
                  <c:v>0.4654409702187336</c:v>
                </c:pt>
                <c:pt idx="88">
                  <c:v>0.43134659976949657</c:v>
                </c:pt>
                <c:pt idx="89">
                  <c:v>0.42690955700104</c:v>
                </c:pt>
                <c:pt idx="90">
                  <c:v>0.77145643900915783</c:v>
                </c:pt>
                <c:pt idx="91">
                  <c:v>0.77145643900915783</c:v>
                </c:pt>
                <c:pt idx="92">
                  <c:v>0.77068498257014872</c:v>
                </c:pt>
                <c:pt idx="93">
                  <c:v>0.77067300983892906</c:v>
                </c:pt>
                <c:pt idx="94">
                  <c:v>0.76448695437332481</c:v>
                </c:pt>
                <c:pt idx="95">
                  <c:v>0.7462179928210797</c:v>
                </c:pt>
                <c:pt idx="96">
                  <c:v>0.73027266839631366</c:v>
                </c:pt>
                <c:pt idx="97">
                  <c:v>0.7101552774493437</c:v>
                </c:pt>
                <c:pt idx="98">
                  <c:v>0.69122254011085482</c:v>
                </c:pt>
                <c:pt idx="99">
                  <c:v>0.66499411019811316</c:v>
                </c:pt>
                <c:pt idx="100">
                  <c:v>0.63909697400592513</c:v>
                </c:pt>
                <c:pt idx="101">
                  <c:v>0.60781973946339873</c:v>
                </c:pt>
                <c:pt idx="102">
                  <c:v>0.57612627611480016</c:v>
                </c:pt>
                <c:pt idx="103">
                  <c:v>0.53973940308666546</c:v>
                </c:pt>
                <c:pt idx="104">
                  <c:v>0.50459598065778399</c:v>
                </c:pt>
                <c:pt idx="105">
                  <c:v>0.4654409702187336</c:v>
                </c:pt>
                <c:pt idx="106">
                  <c:v>0.43134659976949657</c:v>
                </c:pt>
                <c:pt idx="107">
                  <c:v>0.42690955700104</c:v>
                </c:pt>
                <c:pt idx="108">
                  <c:v>0.77145643900915783</c:v>
                </c:pt>
                <c:pt idx="109">
                  <c:v>0.77145643900915783</c:v>
                </c:pt>
                <c:pt idx="110">
                  <c:v>0.77068498257014872</c:v>
                </c:pt>
                <c:pt idx="111">
                  <c:v>0.77067300983892906</c:v>
                </c:pt>
                <c:pt idx="112">
                  <c:v>0.76448695437332481</c:v>
                </c:pt>
                <c:pt idx="113">
                  <c:v>0.7462179928210797</c:v>
                </c:pt>
                <c:pt idx="114">
                  <c:v>0.73027266839631366</c:v>
                </c:pt>
                <c:pt idx="115">
                  <c:v>0.7101552774493437</c:v>
                </c:pt>
                <c:pt idx="116">
                  <c:v>0.69122254011085482</c:v>
                </c:pt>
                <c:pt idx="117">
                  <c:v>0.66499411019811316</c:v>
                </c:pt>
                <c:pt idx="118">
                  <c:v>0.63909697400592513</c:v>
                </c:pt>
                <c:pt idx="119">
                  <c:v>0.60781973946339873</c:v>
                </c:pt>
                <c:pt idx="120">
                  <c:v>0.57612627611480016</c:v>
                </c:pt>
                <c:pt idx="121">
                  <c:v>0.53973940308666546</c:v>
                </c:pt>
                <c:pt idx="122">
                  <c:v>0.50459598065778399</c:v>
                </c:pt>
                <c:pt idx="123">
                  <c:v>0.4654409702187336</c:v>
                </c:pt>
                <c:pt idx="124">
                  <c:v>0.43134659976949657</c:v>
                </c:pt>
                <c:pt idx="125">
                  <c:v>0.42690955700104</c:v>
                </c:pt>
                <c:pt idx="126">
                  <c:v>0.77145643900915783</c:v>
                </c:pt>
                <c:pt idx="127">
                  <c:v>0.77145643900915783</c:v>
                </c:pt>
                <c:pt idx="128">
                  <c:v>0.77068498257014872</c:v>
                </c:pt>
                <c:pt idx="129">
                  <c:v>0.77067300983892906</c:v>
                </c:pt>
                <c:pt idx="130">
                  <c:v>0.76448695437332481</c:v>
                </c:pt>
                <c:pt idx="131">
                  <c:v>0.7462179928210797</c:v>
                </c:pt>
                <c:pt idx="132">
                  <c:v>0.73027266839631366</c:v>
                </c:pt>
                <c:pt idx="133">
                  <c:v>0.7101552774493437</c:v>
                </c:pt>
                <c:pt idx="134">
                  <c:v>0.69122254011085482</c:v>
                </c:pt>
                <c:pt idx="135">
                  <c:v>0.66499411019811316</c:v>
                </c:pt>
                <c:pt idx="136">
                  <c:v>0.63909697400592513</c:v>
                </c:pt>
                <c:pt idx="137">
                  <c:v>0.60781973946339873</c:v>
                </c:pt>
                <c:pt idx="138">
                  <c:v>0.57612627611480016</c:v>
                </c:pt>
                <c:pt idx="139">
                  <c:v>0.53973940308666546</c:v>
                </c:pt>
                <c:pt idx="140">
                  <c:v>0.50459598065778399</c:v>
                </c:pt>
                <c:pt idx="141">
                  <c:v>0.4654409702187336</c:v>
                </c:pt>
                <c:pt idx="142">
                  <c:v>0.43134659976949657</c:v>
                </c:pt>
                <c:pt idx="143">
                  <c:v>0.42690955700104</c:v>
                </c:pt>
                <c:pt idx="144">
                  <c:v>0.77145643900915783</c:v>
                </c:pt>
                <c:pt idx="145">
                  <c:v>0.77145643900915783</c:v>
                </c:pt>
                <c:pt idx="146">
                  <c:v>0.77068498257014872</c:v>
                </c:pt>
                <c:pt idx="147">
                  <c:v>0.77067300983892906</c:v>
                </c:pt>
                <c:pt idx="148">
                  <c:v>0.76448695437332481</c:v>
                </c:pt>
                <c:pt idx="149">
                  <c:v>0.7462179928210797</c:v>
                </c:pt>
                <c:pt idx="150">
                  <c:v>0.73027266839631366</c:v>
                </c:pt>
                <c:pt idx="151">
                  <c:v>0.7101552774493437</c:v>
                </c:pt>
                <c:pt idx="152">
                  <c:v>0.69122254011085482</c:v>
                </c:pt>
                <c:pt idx="153">
                  <c:v>0.66499411019811316</c:v>
                </c:pt>
                <c:pt idx="154">
                  <c:v>0.63909697400592513</c:v>
                </c:pt>
                <c:pt idx="155">
                  <c:v>0.60781973946339873</c:v>
                </c:pt>
                <c:pt idx="156">
                  <c:v>0.57612627611480016</c:v>
                </c:pt>
                <c:pt idx="157">
                  <c:v>0.53973940308666546</c:v>
                </c:pt>
                <c:pt idx="158">
                  <c:v>0.50459598065778399</c:v>
                </c:pt>
                <c:pt idx="159">
                  <c:v>0.4654409702187336</c:v>
                </c:pt>
                <c:pt idx="160">
                  <c:v>0.43134659976949657</c:v>
                </c:pt>
                <c:pt idx="161">
                  <c:v>0.42690955700104</c:v>
                </c:pt>
                <c:pt idx="162">
                  <c:v>0.77145643900915783</c:v>
                </c:pt>
                <c:pt idx="163">
                  <c:v>0.77145643900915783</c:v>
                </c:pt>
                <c:pt idx="164">
                  <c:v>0.77068498257014872</c:v>
                </c:pt>
                <c:pt idx="165">
                  <c:v>0.77067300983892906</c:v>
                </c:pt>
                <c:pt idx="166">
                  <c:v>0.76448695437332481</c:v>
                </c:pt>
                <c:pt idx="167">
                  <c:v>0.7462179928210797</c:v>
                </c:pt>
                <c:pt idx="168">
                  <c:v>0.73027266839631366</c:v>
                </c:pt>
                <c:pt idx="169">
                  <c:v>0.7101552774493437</c:v>
                </c:pt>
                <c:pt idx="170">
                  <c:v>0.69122254011085482</c:v>
                </c:pt>
                <c:pt idx="171">
                  <c:v>0.66499411019811316</c:v>
                </c:pt>
                <c:pt idx="172">
                  <c:v>0.63909697400592513</c:v>
                </c:pt>
                <c:pt idx="173">
                  <c:v>0.60781973946339873</c:v>
                </c:pt>
                <c:pt idx="174">
                  <c:v>0.57612627611480016</c:v>
                </c:pt>
                <c:pt idx="175">
                  <c:v>0.53973940308666546</c:v>
                </c:pt>
                <c:pt idx="176">
                  <c:v>0.50459598065778399</c:v>
                </c:pt>
                <c:pt idx="177">
                  <c:v>0.4654409702187336</c:v>
                </c:pt>
                <c:pt idx="178">
                  <c:v>0.43134659976949657</c:v>
                </c:pt>
                <c:pt idx="179">
                  <c:v>0.42690955700104</c:v>
                </c:pt>
                <c:pt idx="180">
                  <c:v>0.77145643900915783</c:v>
                </c:pt>
                <c:pt idx="181">
                  <c:v>0.77145643900915783</c:v>
                </c:pt>
                <c:pt idx="182">
                  <c:v>0.77068498257014872</c:v>
                </c:pt>
                <c:pt idx="183">
                  <c:v>0.77067300983892906</c:v>
                </c:pt>
                <c:pt idx="184">
                  <c:v>0.76448695437332481</c:v>
                </c:pt>
                <c:pt idx="185">
                  <c:v>0.7462179928210797</c:v>
                </c:pt>
                <c:pt idx="186">
                  <c:v>0.73027266839631366</c:v>
                </c:pt>
                <c:pt idx="187">
                  <c:v>0.7101552774493437</c:v>
                </c:pt>
                <c:pt idx="188">
                  <c:v>0.69122254011085482</c:v>
                </c:pt>
                <c:pt idx="189">
                  <c:v>0.66499411019811316</c:v>
                </c:pt>
                <c:pt idx="190">
                  <c:v>0.63909697400592513</c:v>
                </c:pt>
                <c:pt idx="191">
                  <c:v>0.60781973946339873</c:v>
                </c:pt>
                <c:pt idx="192">
                  <c:v>0.57612627611480016</c:v>
                </c:pt>
                <c:pt idx="193">
                  <c:v>0.53973940308666546</c:v>
                </c:pt>
                <c:pt idx="194">
                  <c:v>0.50459598065778399</c:v>
                </c:pt>
                <c:pt idx="195">
                  <c:v>0.4654409702187336</c:v>
                </c:pt>
                <c:pt idx="196">
                  <c:v>0.43134659976949657</c:v>
                </c:pt>
                <c:pt idx="197">
                  <c:v>0.42690955700104</c:v>
                </c:pt>
                <c:pt idx="198">
                  <c:v>0.77145643900915783</c:v>
                </c:pt>
                <c:pt idx="199">
                  <c:v>0.77145643900915783</c:v>
                </c:pt>
                <c:pt idx="200">
                  <c:v>0.77068498257014872</c:v>
                </c:pt>
                <c:pt idx="201">
                  <c:v>0.77067300983892906</c:v>
                </c:pt>
                <c:pt idx="202">
                  <c:v>0.76448695437332481</c:v>
                </c:pt>
                <c:pt idx="203">
                  <c:v>0.7462179928210797</c:v>
                </c:pt>
                <c:pt idx="204">
                  <c:v>0.73027266839631366</c:v>
                </c:pt>
                <c:pt idx="205">
                  <c:v>0.7101552774493437</c:v>
                </c:pt>
                <c:pt idx="206">
                  <c:v>0.69122254011085482</c:v>
                </c:pt>
                <c:pt idx="207">
                  <c:v>0.66499411019811316</c:v>
                </c:pt>
                <c:pt idx="208">
                  <c:v>0.63909697400592513</c:v>
                </c:pt>
                <c:pt idx="209">
                  <c:v>0.60781973946339873</c:v>
                </c:pt>
                <c:pt idx="210">
                  <c:v>0.57612627611480016</c:v>
                </c:pt>
                <c:pt idx="211">
                  <c:v>0.53973940308666546</c:v>
                </c:pt>
                <c:pt idx="212">
                  <c:v>0.50459598065778399</c:v>
                </c:pt>
                <c:pt idx="213">
                  <c:v>0.4654409702187336</c:v>
                </c:pt>
                <c:pt idx="214">
                  <c:v>0.43134659976949657</c:v>
                </c:pt>
                <c:pt idx="215">
                  <c:v>0.42690955700104</c:v>
                </c:pt>
                <c:pt idx="216">
                  <c:v>0.77145643900915783</c:v>
                </c:pt>
                <c:pt idx="217">
                  <c:v>0.77145643900915783</c:v>
                </c:pt>
                <c:pt idx="218">
                  <c:v>0.77068498257014872</c:v>
                </c:pt>
                <c:pt idx="219">
                  <c:v>0.77067300983892906</c:v>
                </c:pt>
                <c:pt idx="220">
                  <c:v>0.76448695437332481</c:v>
                </c:pt>
                <c:pt idx="221">
                  <c:v>0.7462179928210797</c:v>
                </c:pt>
                <c:pt idx="222">
                  <c:v>0.73027266839631366</c:v>
                </c:pt>
                <c:pt idx="223">
                  <c:v>0.7101552774493437</c:v>
                </c:pt>
                <c:pt idx="224">
                  <c:v>0.69122254011085482</c:v>
                </c:pt>
                <c:pt idx="225">
                  <c:v>0.66499411019811316</c:v>
                </c:pt>
                <c:pt idx="226">
                  <c:v>0.63909697400592513</c:v>
                </c:pt>
                <c:pt idx="227">
                  <c:v>0.60781973946339873</c:v>
                </c:pt>
                <c:pt idx="228">
                  <c:v>0.57612627611480016</c:v>
                </c:pt>
                <c:pt idx="229">
                  <c:v>0.53973940308666546</c:v>
                </c:pt>
                <c:pt idx="230">
                  <c:v>0.50459598065778399</c:v>
                </c:pt>
                <c:pt idx="231">
                  <c:v>0.4654409702187336</c:v>
                </c:pt>
                <c:pt idx="232">
                  <c:v>0.43134659976949657</c:v>
                </c:pt>
                <c:pt idx="233">
                  <c:v>0.42690955700104</c:v>
                </c:pt>
                <c:pt idx="234">
                  <c:v>0.77145643900915783</c:v>
                </c:pt>
                <c:pt idx="235">
                  <c:v>0.77145643900915783</c:v>
                </c:pt>
                <c:pt idx="236">
                  <c:v>0.77068498257014872</c:v>
                </c:pt>
                <c:pt idx="237">
                  <c:v>0.77067300983892906</c:v>
                </c:pt>
                <c:pt idx="238">
                  <c:v>0.76448695437332481</c:v>
                </c:pt>
                <c:pt idx="239">
                  <c:v>0.7462179928210797</c:v>
                </c:pt>
                <c:pt idx="240">
                  <c:v>0.73027266839631366</c:v>
                </c:pt>
                <c:pt idx="241">
                  <c:v>0.7101552774493437</c:v>
                </c:pt>
                <c:pt idx="242">
                  <c:v>0.69122254011085482</c:v>
                </c:pt>
                <c:pt idx="243">
                  <c:v>0.66499411019811316</c:v>
                </c:pt>
                <c:pt idx="244">
                  <c:v>0.63909697400592513</c:v>
                </c:pt>
                <c:pt idx="245">
                  <c:v>0.60781973946339873</c:v>
                </c:pt>
                <c:pt idx="246">
                  <c:v>0.57612627611480016</c:v>
                </c:pt>
                <c:pt idx="247">
                  <c:v>0.53973940308666546</c:v>
                </c:pt>
                <c:pt idx="248">
                  <c:v>0.50459598065778399</c:v>
                </c:pt>
                <c:pt idx="249">
                  <c:v>0.4654409702187336</c:v>
                </c:pt>
                <c:pt idx="250">
                  <c:v>0.43134659976949657</c:v>
                </c:pt>
                <c:pt idx="251">
                  <c:v>0.42690955700104</c:v>
                </c:pt>
                <c:pt idx="252">
                  <c:v>0.77145643900915783</c:v>
                </c:pt>
                <c:pt idx="253">
                  <c:v>0.77145643900915783</c:v>
                </c:pt>
                <c:pt idx="254">
                  <c:v>0.77068498257014872</c:v>
                </c:pt>
                <c:pt idx="255">
                  <c:v>0.77067300983892906</c:v>
                </c:pt>
                <c:pt idx="256">
                  <c:v>0.76448695437332481</c:v>
                </c:pt>
                <c:pt idx="257">
                  <c:v>0.7462179928210797</c:v>
                </c:pt>
                <c:pt idx="258">
                  <c:v>0.73027266839631366</c:v>
                </c:pt>
                <c:pt idx="259">
                  <c:v>0.7101552774493437</c:v>
                </c:pt>
                <c:pt idx="260">
                  <c:v>0.69122254011085482</c:v>
                </c:pt>
                <c:pt idx="261">
                  <c:v>0.66499411019811316</c:v>
                </c:pt>
                <c:pt idx="262">
                  <c:v>0.63909697400592513</c:v>
                </c:pt>
                <c:pt idx="263">
                  <c:v>0.60781973946339873</c:v>
                </c:pt>
                <c:pt idx="264">
                  <c:v>0.57612627611480016</c:v>
                </c:pt>
                <c:pt idx="265">
                  <c:v>0.53973940308666546</c:v>
                </c:pt>
                <c:pt idx="266">
                  <c:v>0.50459598065778399</c:v>
                </c:pt>
                <c:pt idx="267">
                  <c:v>0.4654409702187336</c:v>
                </c:pt>
                <c:pt idx="268">
                  <c:v>0.43134659976949657</c:v>
                </c:pt>
                <c:pt idx="269">
                  <c:v>0.42690955700104</c:v>
                </c:pt>
                <c:pt idx="270">
                  <c:v>0.77145643900915783</c:v>
                </c:pt>
                <c:pt idx="271">
                  <c:v>0.77145643900915783</c:v>
                </c:pt>
                <c:pt idx="272">
                  <c:v>0.77068498257014872</c:v>
                </c:pt>
                <c:pt idx="273">
                  <c:v>0.77067300983892906</c:v>
                </c:pt>
                <c:pt idx="274">
                  <c:v>0.76448695437332481</c:v>
                </c:pt>
                <c:pt idx="275">
                  <c:v>0.7462179928210797</c:v>
                </c:pt>
                <c:pt idx="276">
                  <c:v>0.73027266839631366</c:v>
                </c:pt>
                <c:pt idx="277">
                  <c:v>0.7101552774493437</c:v>
                </c:pt>
                <c:pt idx="278">
                  <c:v>0.69122254011085482</c:v>
                </c:pt>
                <c:pt idx="279">
                  <c:v>0.66499411019811316</c:v>
                </c:pt>
                <c:pt idx="280">
                  <c:v>0.63909697400592513</c:v>
                </c:pt>
                <c:pt idx="281">
                  <c:v>0.60781973946339873</c:v>
                </c:pt>
                <c:pt idx="282">
                  <c:v>0.57612627611480016</c:v>
                </c:pt>
                <c:pt idx="283">
                  <c:v>0.53973940308666546</c:v>
                </c:pt>
                <c:pt idx="284">
                  <c:v>0.50459598065778399</c:v>
                </c:pt>
                <c:pt idx="285">
                  <c:v>0.4654409702187336</c:v>
                </c:pt>
                <c:pt idx="286">
                  <c:v>0.43134659976949657</c:v>
                </c:pt>
                <c:pt idx="287">
                  <c:v>0.42690955700104</c:v>
                </c:pt>
                <c:pt idx="288">
                  <c:v>0.77145643900915783</c:v>
                </c:pt>
                <c:pt idx="289">
                  <c:v>0.77145643900915783</c:v>
                </c:pt>
                <c:pt idx="290">
                  <c:v>0.77068498257014872</c:v>
                </c:pt>
                <c:pt idx="291">
                  <c:v>0.77067300983892906</c:v>
                </c:pt>
                <c:pt idx="292">
                  <c:v>0.76448695437332481</c:v>
                </c:pt>
                <c:pt idx="293">
                  <c:v>0.7462179928210797</c:v>
                </c:pt>
                <c:pt idx="294">
                  <c:v>0.73027266839631366</c:v>
                </c:pt>
                <c:pt idx="295">
                  <c:v>0.7101552774493437</c:v>
                </c:pt>
                <c:pt idx="296">
                  <c:v>0.69122254011085482</c:v>
                </c:pt>
                <c:pt idx="297">
                  <c:v>0.66499411019811316</c:v>
                </c:pt>
                <c:pt idx="298">
                  <c:v>0.63909697400592513</c:v>
                </c:pt>
                <c:pt idx="299">
                  <c:v>0.60781973946339873</c:v>
                </c:pt>
                <c:pt idx="300">
                  <c:v>0.57612627611480016</c:v>
                </c:pt>
                <c:pt idx="301">
                  <c:v>0.53973940308666546</c:v>
                </c:pt>
                <c:pt idx="302">
                  <c:v>0.50459598065778399</c:v>
                </c:pt>
                <c:pt idx="303">
                  <c:v>0.4654409702187336</c:v>
                </c:pt>
                <c:pt idx="304">
                  <c:v>0.43134659976949657</c:v>
                </c:pt>
                <c:pt idx="305">
                  <c:v>0.42690955700104</c:v>
                </c:pt>
                <c:pt idx="306">
                  <c:v>0.77145643900915783</c:v>
                </c:pt>
                <c:pt idx="307">
                  <c:v>0.77145643900915783</c:v>
                </c:pt>
                <c:pt idx="308">
                  <c:v>0.77068498257014872</c:v>
                </c:pt>
                <c:pt idx="309">
                  <c:v>0.77067300983892906</c:v>
                </c:pt>
                <c:pt idx="310">
                  <c:v>0.76448695437332481</c:v>
                </c:pt>
                <c:pt idx="311">
                  <c:v>0.7462179928210797</c:v>
                </c:pt>
                <c:pt idx="312">
                  <c:v>0.73027266839631366</c:v>
                </c:pt>
                <c:pt idx="313">
                  <c:v>0.7101552774493437</c:v>
                </c:pt>
                <c:pt idx="314">
                  <c:v>0.69122254011085482</c:v>
                </c:pt>
                <c:pt idx="315">
                  <c:v>0.66499411019811316</c:v>
                </c:pt>
                <c:pt idx="316">
                  <c:v>0.63909697400592513</c:v>
                </c:pt>
                <c:pt idx="317">
                  <c:v>0.60781973946339873</c:v>
                </c:pt>
                <c:pt idx="318">
                  <c:v>0.57612627611480016</c:v>
                </c:pt>
                <c:pt idx="319">
                  <c:v>0.53973940308666546</c:v>
                </c:pt>
                <c:pt idx="320">
                  <c:v>0.50459598065778399</c:v>
                </c:pt>
                <c:pt idx="321">
                  <c:v>0.4654409702187336</c:v>
                </c:pt>
                <c:pt idx="322">
                  <c:v>0.43134659976949657</c:v>
                </c:pt>
                <c:pt idx="323">
                  <c:v>0.42690955700104</c:v>
                </c:pt>
                <c:pt idx="324">
                  <c:v>0.77145643900915783</c:v>
                </c:pt>
                <c:pt idx="325">
                  <c:v>0.77145643900915783</c:v>
                </c:pt>
                <c:pt idx="326">
                  <c:v>0.77068498257014872</c:v>
                </c:pt>
                <c:pt idx="327">
                  <c:v>0.77067300983892906</c:v>
                </c:pt>
                <c:pt idx="328">
                  <c:v>0.76448695437332481</c:v>
                </c:pt>
                <c:pt idx="329">
                  <c:v>0.7462179928210797</c:v>
                </c:pt>
                <c:pt idx="330">
                  <c:v>0.73027266839631366</c:v>
                </c:pt>
                <c:pt idx="331">
                  <c:v>0.7101552774493437</c:v>
                </c:pt>
                <c:pt idx="332">
                  <c:v>0.69122254011085482</c:v>
                </c:pt>
                <c:pt idx="333">
                  <c:v>0.66499411019811316</c:v>
                </c:pt>
                <c:pt idx="334">
                  <c:v>0.63909697400592513</c:v>
                </c:pt>
                <c:pt idx="335">
                  <c:v>0.60781973946339873</c:v>
                </c:pt>
                <c:pt idx="336">
                  <c:v>0.57612627611480016</c:v>
                </c:pt>
                <c:pt idx="337">
                  <c:v>0.53973940308666546</c:v>
                </c:pt>
                <c:pt idx="338">
                  <c:v>0.50459598065778399</c:v>
                </c:pt>
                <c:pt idx="339">
                  <c:v>0.4654409702187336</c:v>
                </c:pt>
                <c:pt idx="340">
                  <c:v>0.43134659976949657</c:v>
                </c:pt>
                <c:pt idx="341">
                  <c:v>0.42690955700104</c:v>
                </c:pt>
                <c:pt idx="342">
                  <c:v>0.77145643900915783</c:v>
                </c:pt>
                <c:pt idx="343">
                  <c:v>0.77145643900915783</c:v>
                </c:pt>
                <c:pt idx="344">
                  <c:v>0.77068498257014872</c:v>
                </c:pt>
                <c:pt idx="345">
                  <c:v>0.77067300983892906</c:v>
                </c:pt>
                <c:pt idx="346">
                  <c:v>0.76448695437332481</c:v>
                </c:pt>
                <c:pt idx="347">
                  <c:v>0.7462179928210797</c:v>
                </c:pt>
                <c:pt idx="348">
                  <c:v>0.73027266839631366</c:v>
                </c:pt>
                <c:pt idx="349">
                  <c:v>0.7101552774493437</c:v>
                </c:pt>
                <c:pt idx="350">
                  <c:v>0.69122254011085482</c:v>
                </c:pt>
                <c:pt idx="351">
                  <c:v>0.66499411019811316</c:v>
                </c:pt>
                <c:pt idx="352">
                  <c:v>0.63909697400592513</c:v>
                </c:pt>
                <c:pt idx="353">
                  <c:v>0.60781973946339873</c:v>
                </c:pt>
                <c:pt idx="354">
                  <c:v>0.57612627611480016</c:v>
                </c:pt>
                <c:pt idx="355">
                  <c:v>0.53973940308666546</c:v>
                </c:pt>
                <c:pt idx="356">
                  <c:v>0.50459598065778399</c:v>
                </c:pt>
                <c:pt idx="357">
                  <c:v>0.4654409702187336</c:v>
                </c:pt>
                <c:pt idx="358">
                  <c:v>0.43134659976949657</c:v>
                </c:pt>
                <c:pt idx="359">
                  <c:v>0.42690955700104</c:v>
                </c:pt>
                <c:pt idx="360">
                  <c:v>0.77145643900915783</c:v>
                </c:pt>
                <c:pt idx="361">
                  <c:v>0.77145643900915783</c:v>
                </c:pt>
                <c:pt idx="362">
                  <c:v>0.77068498257014872</c:v>
                </c:pt>
                <c:pt idx="363">
                  <c:v>0.77067300983892906</c:v>
                </c:pt>
                <c:pt idx="364">
                  <c:v>0.76448695437332481</c:v>
                </c:pt>
                <c:pt idx="365">
                  <c:v>0.7462179928210797</c:v>
                </c:pt>
                <c:pt idx="366">
                  <c:v>0.73027266839631366</c:v>
                </c:pt>
                <c:pt idx="367">
                  <c:v>0.7101552774493437</c:v>
                </c:pt>
                <c:pt idx="368">
                  <c:v>0.69122254011085482</c:v>
                </c:pt>
                <c:pt idx="369">
                  <c:v>0.66499411019811316</c:v>
                </c:pt>
                <c:pt idx="370">
                  <c:v>0.63909697400592513</c:v>
                </c:pt>
                <c:pt idx="371">
                  <c:v>0.60781973946339873</c:v>
                </c:pt>
                <c:pt idx="372">
                  <c:v>0.57612627611480016</c:v>
                </c:pt>
                <c:pt idx="373">
                  <c:v>0.53973940308666546</c:v>
                </c:pt>
                <c:pt idx="374">
                  <c:v>0.50459598065778399</c:v>
                </c:pt>
                <c:pt idx="375">
                  <c:v>0.4654409702187336</c:v>
                </c:pt>
                <c:pt idx="376">
                  <c:v>0.43134659976949657</c:v>
                </c:pt>
                <c:pt idx="377">
                  <c:v>0.42690955700104</c:v>
                </c:pt>
                <c:pt idx="378">
                  <c:v>0.77145643900915783</c:v>
                </c:pt>
                <c:pt idx="379">
                  <c:v>0.77145643900915783</c:v>
                </c:pt>
                <c:pt idx="380">
                  <c:v>0.77068498257014872</c:v>
                </c:pt>
                <c:pt idx="381">
                  <c:v>0.77067300983892906</c:v>
                </c:pt>
                <c:pt idx="382">
                  <c:v>0.76448695437332481</c:v>
                </c:pt>
                <c:pt idx="383">
                  <c:v>0.7462179928210797</c:v>
                </c:pt>
                <c:pt idx="384">
                  <c:v>0.73027266839631366</c:v>
                </c:pt>
                <c:pt idx="385">
                  <c:v>0.7101552774493437</c:v>
                </c:pt>
                <c:pt idx="386">
                  <c:v>0.69122254011085482</c:v>
                </c:pt>
                <c:pt idx="387">
                  <c:v>0.66499411019811316</c:v>
                </c:pt>
                <c:pt idx="388">
                  <c:v>0.63909697400592513</c:v>
                </c:pt>
                <c:pt idx="389">
                  <c:v>0.60781973946339873</c:v>
                </c:pt>
                <c:pt idx="390">
                  <c:v>0.57612627611480016</c:v>
                </c:pt>
                <c:pt idx="391">
                  <c:v>0.53973940308666546</c:v>
                </c:pt>
                <c:pt idx="392">
                  <c:v>0.50459598065778399</c:v>
                </c:pt>
                <c:pt idx="393">
                  <c:v>0.4654409702187336</c:v>
                </c:pt>
                <c:pt idx="394">
                  <c:v>0.43134659976949657</c:v>
                </c:pt>
                <c:pt idx="395">
                  <c:v>0.42690955700104</c:v>
                </c:pt>
                <c:pt idx="396">
                  <c:v>0.77145643900915783</c:v>
                </c:pt>
                <c:pt idx="397">
                  <c:v>0.77145643900915783</c:v>
                </c:pt>
                <c:pt idx="398">
                  <c:v>0.77068498257014872</c:v>
                </c:pt>
                <c:pt idx="399">
                  <c:v>0.77067300983892906</c:v>
                </c:pt>
                <c:pt idx="400">
                  <c:v>0.76448695437332481</c:v>
                </c:pt>
                <c:pt idx="401">
                  <c:v>0.7462179928210797</c:v>
                </c:pt>
                <c:pt idx="402">
                  <c:v>0.73027266839631366</c:v>
                </c:pt>
                <c:pt idx="403">
                  <c:v>0.7101552774493437</c:v>
                </c:pt>
                <c:pt idx="404">
                  <c:v>0.69122254011085482</c:v>
                </c:pt>
                <c:pt idx="405">
                  <c:v>0.66499411019811316</c:v>
                </c:pt>
                <c:pt idx="406">
                  <c:v>0.63909697400592513</c:v>
                </c:pt>
                <c:pt idx="407">
                  <c:v>0.60781973946339873</c:v>
                </c:pt>
                <c:pt idx="408">
                  <c:v>0.57612627611480016</c:v>
                </c:pt>
                <c:pt idx="409">
                  <c:v>0.53973940308666546</c:v>
                </c:pt>
                <c:pt idx="410">
                  <c:v>0.50459598065778399</c:v>
                </c:pt>
                <c:pt idx="411">
                  <c:v>0.4654409702187336</c:v>
                </c:pt>
                <c:pt idx="412">
                  <c:v>0.43134659976949657</c:v>
                </c:pt>
                <c:pt idx="413">
                  <c:v>0.42690955700104</c:v>
                </c:pt>
                <c:pt idx="414">
                  <c:v>0.77145643900915783</c:v>
                </c:pt>
                <c:pt idx="415">
                  <c:v>0.77145643900915783</c:v>
                </c:pt>
                <c:pt idx="416">
                  <c:v>0.77068498257014872</c:v>
                </c:pt>
                <c:pt idx="417">
                  <c:v>0.77067300983892906</c:v>
                </c:pt>
                <c:pt idx="418">
                  <c:v>0.76448695437332481</c:v>
                </c:pt>
                <c:pt idx="419">
                  <c:v>0.7462179928210797</c:v>
                </c:pt>
                <c:pt idx="420">
                  <c:v>0.73027266839631366</c:v>
                </c:pt>
                <c:pt idx="421">
                  <c:v>0.7101552774493437</c:v>
                </c:pt>
                <c:pt idx="422">
                  <c:v>0.69122254011085482</c:v>
                </c:pt>
                <c:pt idx="423">
                  <c:v>0.66499411019811316</c:v>
                </c:pt>
                <c:pt idx="424">
                  <c:v>0.63909697400592513</c:v>
                </c:pt>
                <c:pt idx="425">
                  <c:v>0.60781973946339873</c:v>
                </c:pt>
                <c:pt idx="426">
                  <c:v>0.57612627611480016</c:v>
                </c:pt>
                <c:pt idx="427">
                  <c:v>0.53973940308666546</c:v>
                </c:pt>
                <c:pt idx="428">
                  <c:v>0.50459598065778399</c:v>
                </c:pt>
                <c:pt idx="429">
                  <c:v>0.4654409702187336</c:v>
                </c:pt>
                <c:pt idx="430">
                  <c:v>0.43134659976949657</c:v>
                </c:pt>
                <c:pt idx="431">
                  <c:v>0.42690955700104</c:v>
                </c:pt>
                <c:pt idx="432">
                  <c:v>0.77145643900915783</c:v>
                </c:pt>
                <c:pt idx="433">
                  <c:v>0.77145643900915783</c:v>
                </c:pt>
                <c:pt idx="434">
                  <c:v>0.77068498257014872</c:v>
                </c:pt>
                <c:pt idx="435">
                  <c:v>0.77067300983892906</c:v>
                </c:pt>
                <c:pt idx="436">
                  <c:v>0.76448695437332481</c:v>
                </c:pt>
                <c:pt idx="437">
                  <c:v>0.7462179928210797</c:v>
                </c:pt>
                <c:pt idx="438">
                  <c:v>0.73027266839631366</c:v>
                </c:pt>
                <c:pt idx="439">
                  <c:v>0.7101552774493437</c:v>
                </c:pt>
                <c:pt idx="440">
                  <c:v>0.69122254011085482</c:v>
                </c:pt>
                <c:pt idx="441">
                  <c:v>0.66499411019811316</c:v>
                </c:pt>
                <c:pt idx="442">
                  <c:v>0.63909697400592513</c:v>
                </c:pt>
                <c:pt idx="443">
                  <c:v>0.60781973946339873</c:v>
                </c:pt>
                <c:pt idx="444">
                  <c:v>0.57612627611480016</c:v>
                </c:pt>
                <c:pt idx="445">
                  <c:v>0.53973940308666546</c:v>
                </c:pt>
                <c:pt idx="446">
                  <c:v>0.50459598065778399</c:v>
                </c:pt>
                <c:pt idx="447">
                  <c:v>0.4654409702187336</c:v>
                </c:pt>
                <c:pt idx="448">
                  <c:v>0.43134659976949657</c:v>
                </c:pt>
                <c:pt idx="449">
                  <c:v>0.42690955700104</c:v>
                </c:pt>
                <c:pt idx="450">
                  <c:v>0.77145643900915783</c:v>
                </c:pt>
                <c:pt idx="451">
                  <c:v>0.77145643900915783</c:v>
                </c:pt>
                <c:pt idx="452">
                  <c:v>0.77068498257014872</c:v>
                </c:pt>
                <c:pt idx="453">
                  <c:v>0.77067300983892906</c:v>
                </c:pt>
                <c:pt idx="454">
                  <c:v>0.76448695437332481</c:v>
                </c:pt>
                <c:pt idx="455">
                  <c:v>0.7462179928210797</c:v>
                </c:pt>
                <c:pt idx="456">
                  <c:v>0.73027266839631366</c:v>
                </c:pt>
                <c:pt idx="457">
                  <c:v>0.7101552774493437</c:v>
                </c:pt>
                <c:pt idx="458">
                  <c:v>0.69122254011085482</c:v>
                </c:pt>
                <c:pt idx="459">
                  <c:v>0.66499411019811316</c:v>
                </c:pt>
                <c:pt idx="460">
                  <c:v>0.63909697400592513</c:v>
                </c:pt>
                <c:pt idx="461">
                  <c:v>0.60781973946339873</c:v>
                </c:pt>
                <c:pt idx="462">
                  <c:v>0.57612627611480016</c:v>
                </c:pt>
                <c:pt idx="463">
                  <c:v>0.53973940308666546</c:v>
                </c:pt>
                <c:pt idx="464">
                  <c:v>0.50459598065778399</c:v>
                </c:pt>
                <c:pt idx="465">
                  <c:v>0.4654409702187336</c:v>
                </c:pt>
                <c:pt idx="466">
                  <c:v>0.43134659976949657</c:v>
                </c:pt>
                <c:pt idx="467">
                  <c:v>0.42690955700104</c:v>
                </c:pt>
                <c:pt idx="468">
                  <c:v>0.77145643900915783</c:v>
                </c:pt>
                <c:pt idx="469">
                  <c:v>0.77145643900915783</c:v>
                </c:pt>
                <c:pt idx="470">
                  <c:v>0.77068498257014872</c:v>
                </c:pt>
                <c:pt idx="471">
                  <c:v>0.77067300983892906</c:v>
                </c:pt>
                <c:pt idx="472">
                  <c:v>0.76448695437332481</c:v>
                </c:pt>
                <c:pt idx="473">
                  <c:v>0.7462179928210797</c:v>
                </c:pt>
                <c:pt idx="474">
                  <c:v>0.73027266839631366</c:v>
                </c:pt>
                <c:pt idx="475">
                  <c:v>0.7101552774493437</c:v>
                </c:pt>
                <c:pt idx="476">
                  <c:v>0.69122254011085482</c:v>
                </c:pt>
                <c:pt idx="477">
                  <c:v>0.66499411019811316</c:v>
                </c:pt>
                <c:pt idx="478">
                  <c:v>0.63909697400592513</c:v>
                </c:pt>
                <c:pt idx="479">
                  <c:v>0.60781973946339873</c:v>
                </c:pt>
                <c:pt idx="480">
                  <c:v>0.57612627611480016</c:v>
                </c:pt>
                <c:pt idx="481">
                  <c:v>0.53973940308666546</c:v>
                </c:pt>
                <c:pt idx="482">
                  <c:v>0.50459598065778399</c:v>
                </c:pt>
                <c:pt idx="483">
                  <c:v>0.4654409702187336</c:v>
                </c:pt>
                <c:pt idx="484">
                  <c:v>0.43134659976949657</c:v>
                </c:pt>
                <c:pt idx="485">
                  <c:v>0.42690955700104</c:v>
                </c:pt>
                <c:pt idx="486">
                  <c:v>0.77145643900915783</c:v>
                </c:pt>
                <c:pt idx="487">
                  <c:v>0.77145643900915783</c:v>
                </c:pt>
                <c:pt idx="488">
                  <c:v>0.77068498257014872</c:v>
                </c:pt>
                <c:pt idx="489">
                  <c:v>0.77067300983892906</c:v>
                </c:pt>
                <c:pt idx="490">
                  <c:v>0.76448695437332481</c:v>
                </c:pt>
                <c:pt idx="491">
                  <c:v>0.7462179928210797</c:v>
                </c:pt>
                <c:pt idx="492">
                  <c:v>0.73027266839631366</c:v>
                </c:pt>
                <c:pt idx="493">
                  <c:v>0.7101552774493437</c:v>
                </c:pt>
                <c:pt idx="494">
                  <c:v>0.69122254011085482</c:v>
                </c:pt>
                <c:pt idx="495">
                  <c:v>0.66499411019811316</c:v>
                </c:pt>
                <c:pt idx="496">
                  <c:v>0.63909697400592513</c:v>
                </c:pt>
                <c:pt idx="497">
                  <c:v>0.60781973946339873</c:v>
                </c:pt>
                <c:pt idx="498">
                  <c:v>0.57612627611480016</c:v>
                </c:pt>
                <c:pt idx="499">
                  <c:v>0.53973940308666546</c:v>
                </c:pt>
                <c:pt idx="500">
                  <c:v>0.50459598065778399</c:v>
                </c:pt>
                <c:pt idx="501">
                  <c:v>0.4654409702187336</c:v>
                </c:pt>
                <c:pt idx="502">
                  <c:v>0.43134659976949657</c:v>
                </c:pt>
                <c:pt idx="503">
                  <c:v>0.42690955700104</c:v>
                </c:pt>
                <c:pt idx="504">
                  <c:v>0.77145643900915783</c:v>
                </c:pt>
                <c:pt idx="505">
                  <c:v>0.77145643900915783</c:v>
                </c:pt>
                <c:pt idx="506">
                  <c:v>0.77068498257014872</c:v>
                </c:pt>
                <c:pt idx="507">
                  <c:v>0.77067300983892906</c:v>
                </c:pt>
                <c:pt idx="508">
                  <c:v>0.76448695437332481</c:v>
                </c:pt>
                <c:pt idx="509">
                  <c:v>0.7462179928210797</c:v>
                </c:pt>
                <c:pt idx="510">
                  <c:v>0.73027266839631366</c:v>
                </c:pt>
                <c:pt idx="511">
                  <c:v>0.7101552774493437</c:v>
                </c:pt>
                <c:pt idx="512">
                  <c:v>0.69122254011085482</c:v>
                </c:pt>
                <c:pt idx="513">
                  <c:v>0.66499411019811316</c:v>
                </c:pt>
                <c:pt idx="514">
                  <c:v>0.63909697400592513</c:v>
                </c:pt>
                <c:pt idx="515">
                  <c:v>0.60781973946339873</c:v>
                </c:pt>
                <c:pt idx="516">
                  <c:v>0.57612627611480016</c:v>
                </c:pt>
                <c:pt idx="517">
                  <c:v>0.53973940308666546</c:v>
                </c:pt>
                <c:pt idx="518">
                  <c:v>0.50459598065778399</c:v>
                </c:pt>
                <c:pt idx="519">
                  <c:v>0.4654409702187336</c:v>
                </c:pt>
                <c:pt idx="520">
                  <c:v>0.43134659976949657</c:v>
                </c:pt>
                <c:pt idx="521">
                  <c:v>0.42690955700104</c:v>
                </c:pt>
                <c:pt idx="522">
                  <c:v>0.77145643900915783</c:v>
                </c:pt>
                <c:pt idx="523">
                  <c:v>0.77145643900915783</c:v>
                </c:pt>
                <c:pt idx="524">
                  <c:v>0.77068498257014872</c:v>
                </c:pt>
                <c:pt idx="525">
                  <c:v>0.77067300983892906</c:v>
                </c:pt>
                <c:pt idx="526">
                  <c:v>0.76448695437332481</c:v>
                </c:pt>
                <c:pt idx="527">
                  <c:v>0.7462179928210797</c:v>
                </c:pt>
                <c:pt idx="528">
                  <c:v>0.73027266839631366</c:v>
                </c:pt>
                <c:pt idx="529">
                  <c:v>0.7101552774493437</c:v>
                </c:pt>
                <c:pt idx="530">
                  <c:v>0.69122254011085482</c:v>
                </c:pt>
                <c:pt idx="531">
                  <c:v>0.66499411019811316</c:v>
                </c:pt>
                <c:pt idx="532">
                  <c:v>0.63909697400592513</c:v>
                </c:pt>
                <c:pt idx="533">
                  <c:v>0.60781973946339873</c:v>
                </c:pt>
                <c:pt idx="534">
                  <c:v>0.57612627611480016</c:v>
                </c:pt>
                <c:pt idx="535">
                  <c:v>0.53973940308666546</c:v>
                </c:pt>
                <c:pt idx="536">
                  <c:v>0.50459598065778399</c:v>
                </c:pt>
                <c:pt idx="537">
                  <c:v>0.4654409702187336</c:v>
                </c:pt>
                <c:pt idx="538">
                  <c:v>0.43134659976949657</c:v>
                </c:pt>
                <c:pt idx="539">
                  <c:v>0.42690955700104</c:v>
                </c:pt>
                <c:pt idx="540">
                  <c:v>0.77145643900915783</c:v>
                </c:pt>
                <c:pt idx="541">
                  <c:v>0.77145643900915783</c:v>
                </c:pt>
                <c:pt idx="542">
                  <c:v>0.77068498257014872</c:v>
                </c:pt>
                <c:pt idx="543">
                  <c:v>0.77067300983892906</c:v>
                </c:pt>
                <c:pt idx="544">
                  <c:v>0.76448695437332481</c:v>
                </c:pt>
                <c:pt idx="545">
                  <c:v>0.7462179928210797</c:v>
                </c:pt>
                <c:pt idx="546">
                  <c:v>0.73027266839631366</c:v>
                </c:pt>
                <c:pt idx="547">
                  <c:v>0.7101552774493437</c:v>
                </c:pt>
                <c:pt idx="548">
                  <c:v>0.69122254011085482</c:v>
                </c:pt>
                <c:pt idx="549">
                  <c:v>0.66499411019811316</c:v>
                </c:pt>
                <c:pt idx="550">
                  <c:v>0.63909697400592513</c:v>
                </c:pt>
                <c:pt idx="551">
                  <c:v>0.60781973946339873</c:v>
                </c:pt>
                <c:pt idx="552">
                  <c:v>0.57612627611480016</c:v>
                </c:pt>
                <c:pt idx="553">
                  <c:v>0.53973940308666546</c:v>
                </c:pt>
                <c:pt idx="554">
                  <c:v>0.50459598065778399</c:v>
                </c:pt>
                <c:pt idx="555">
                  <c:v>0.4654409702187336</c:v>
                </c:pt>
                <c:pt idx="556">
                  <c:v>0.43134659976949657</c:v>
                </c:pt>
                <c:pt idx="557">
                  <c:v>0.42690955700104</c:v>
                </c:pt>
                <c:pt idx="558">
                  <c:v>0.77145643900915783</c:v>
                </c:pt>
                <c:pt idx="559">
                  <c:v>0.77145643900915783</c:v>
                </c:pt>
                <c:pt idx="560">
                  <c:v>0.77068498257014872</c:v>
                </c:pt>
                <c:pt idx="561">
                  <c:v>0.77067300983892906</c:v>
                </c:pt>
                <c:pt idx="562">
                  <c:v>0.76448695437332481</c:v>
                </c:pt>
                <c:pt idx="563">
                  <c:v>0.7462179928210797</c:v>
                </c:pt>
                <c:pt idx="564">
                  <c:v>0.73027266839631366</c:v>
                </c:pt>
                <c:pt idx="565">
                  <c:v>0.7101552774493437</c:v>
                </c:pt>
                <c:pt idx="566">
                  <c:v>0.69122254011085482</c:v>
                </c:pt>
                <c:pt idx="567">
                  <c:v>0.66499411019811316</c:v>
                </c:pt>
                <c:pt idx="568">
                  <c:v>0.63909697400592513</c:v>
                </c:pt>
                <c:pt idx="569">
                  <c:v>0.60781973946339873</c:v>
                </c:pt>
                <c:pt idx="570">
                  <c:v>0.57612627611480016</c:v>
                </c:pt>
                <c:pt idx="571">
                  <c:v>0.53973940308666546</c:v>
                </c:pt>
                <c:pt idx="572">
                  <c:v>0.50459598065778399</c:v>
                </c:pt>
                <c:pt idx="573">
                  <c:v>0.4654409702187336</c:v>
                </c:pt>
                <c:pt idx="574">
                  <c:v>0.43134659976949657</c:v>
                </c:pt>
                <c:pt idx="575">
                  <c:v>0.42690955700104</c:v>
                </c:pt>
                <c:pt idx="576">
                  <c:v>0.77145643900915783</c:v>
                </c:pt>
                <c:pt idx="577">
                  <c:v>0.77145643900915783</c:v>
                </c:pt>
                <c:pt idx="578">
                  <c:v>0.77068498257014872</c:v>
                </c:pt>
                <c:pt idx="579">
                  <c:v>0.77067300983892906</c:v>
                </c:pt>
                <c:pt idx="580">
                  <c:v>0.76448695437332481</c:v>
                </c:pt>
                <c:pt idx="581">
                  <c:v>0.7462179928210797</c:v>
                </c:pt>
                <c:pt idx="582">
                  <c:v>0.73027266839631366</c:v>
                </c:pt>
                <c:pt idx="583">
                  <c:v>0.7101552774493437</c:v>
                </c:pt>
                <c:pt idx="584">
                  <c:v>0.69122254011085482</c:v>
                </c:pt>
                <c:pt idx="585">
                  <c:v>0.66499411019811316</c:v>
                </c:pt>
                <c:pt idx="586">
                  <c:v>0.63909697400592513</c:v>
                </c:pt>
                <c:pt idx="587">
                  <c:v>0.60781973946339873</c:v>
                </c:pt>
                <c:pt idx="588">
                  <c:v>0.57612627611480016</c:v>
                </c:pt>
                <c:pt idx="589">
                  <c:v>0.53973940308666546</c:v>
                </c:pt>
                <c:pt idx="590">
                  <c:v>0.50459598065778399</c:v>
                </c:pt>
                <c:pt idx="591">
                  <c:v>0.4654409702187336</c:v>
                </c:pt>
                <c:pt idx="592">
                  <c:v>0.43134659976949657</c:v>
                </c:pt>
                <c:pt idx="593">
                  <c:v>0.42690955700104</c:v>
                </c:pt>
                <c:pt idx="594">
                  <c:v>0.77145643900915783</c:v>
                </c:pt>
                <c:pt idx="595">
                  <c:v>0.77145643900915783</c:v>
                </c:pt>
                <c:pt idx="596">
                  <c:v>0.77068498257014872</c:v>
                </c:pt>
                <c:pt idx="597">
                  <c:v>0.77067300983892906</c:v>
                </c:pt>
                <c:pt idx="598">
                  <c:v>0.76448695437332481</c:v>
                </c:pt>
                <c:pt idx="599">
                  <c:v>0.7462179928210797</c:v>
                </c:pt>
                <c:pt idx="600">
                  <c:v>0.73027266839631366</c:v>
                </c:pt>
                <c:pt idx="601">
                  <c:v>0.7101552774493437</c:v>
                </c:pt>
                <c:pt idx="602">
                  <c:v>0.69122254011085482</c:v>
                </c:pt>
                <c:pt idx="603">
                  <c:v>0.66499411019811316</c:v>
                </c:pt>
                <c:pt idx="604">
                  <c:v>0.63909697400592513</c:v>
                </c:pt>
                <c:pt idx="605">
                  <c:v>0.60781973946339873</c:v>
                </c:pt>
                <c:pt idx="606">
                  <c:v>0.57612627611480016</c:v>
                </c:pt>
                <c:pt idx="607">
                  <c:v>0.53973940308666546</c:v>
                </c:pt>
                <c:pt idx="608">
                  <c:v>0.50459598065778399</c:v>
                </c:pt>
                <c:pt idx="609">
                  <c:v>0.4654409702187336</c:v>
                </c:pt>
                <c:pt idx="610">
                  <c:v>0.43134659976949657</c:v>
                </c:pt>
                <c:pt idx="611">
                  <c:v>0.42690955700104</c:v>
                </c:pt>
                <c:pt idx="612">
                  <c:v>0.77145643900915783</c:v>
                </c:pt>
                <c:pt idx="613">
                  <c:v>0.77145643900915783</c:v>
                </c:pt>
                <c:pt idx="614">
                  <c:v>0.77068498257014872</c:v>
                </c:pt>
                <c:pt idx="615">
                  <c:v>0.77067300983892906</c:v>
                </c:pt>
                <c:pt idx="616">
                  <c:v>0.76448695437332481</c:v>
                </c:pt>
                <c:pt idx="617">
                  <c:v>0.7462179928210797</c:v>
                </c:pt>
                <c:pt idx="618">
                  <c:v>0.73027266839631366</c:v>
                </c:pt>
                <c:pt idx="619">
                  <c:v>0.7101552774493437</c:v>
                </c:pt>
                <c:pt idx="620">
                  <c:v>0.69122254011085482</c:v>
                </c:pt>
                <c:pt idx="621">
                  <c:v>0.66499411019811316</c:v>
                </c:pt>
                <c:pt idx="622">
                  <c:v>0.63909697400592513</c:v>
                </c:pt>
                <c:pt idx="623">
                  <c:v>0.60781973946339873</c:v>
                </c:pt>
                <c:pt idx="624">
                  <c:v>0.57612627611480016</c:v>
                </c:pt>
                <c:pt idx="625">
                  <c:v>0.53973940308666546</c:v>
                </c:pt>
                <c:pt idx="626">
                  <c:v>0.50459598065778399</c:v>
                </c:pt>
                <c:pt idx="627">
                  <c:v>0.4654409702187336</c:v>
                </c:pt>
                <c:pt idx="628">
                  <c:v>0.43134659976949657</c:v>
                </c:pt>
                <c:pt idx="629">
                  <c:v>0.42690955700104</c:v>
                </c:pt>
                <c:pt idx="630">
                  <c:v>0.77145643900915783</c:v>
                </c:pt>
                <c:pt idx="631">
                  <c:v>0.77145643900915783</c:v>
                </c:pt>
                <c:pt idx="632">
                  <c:v>0.77068498257014872</c:v>
                </c:pt>
                <c:pt idx="633">
                  <c:v>0.77067300983892906</c:v>
                </c:pt>
                <c:pt idx="634">
                  <c:v>0.76448695437332481</c:v>
                </c:pt>
                <c:pt idx="635">
                  <c:v>0.7462179928210797</c:v>
                </c:pt>
                <c:pt idx="636">
                  <c:v>0.73027266839631366</c:v>
                </c:pt>
                <c:pt idx="637">
                  <c:v>0.7101552774493437</c:v>
                </c:pt>
                <c:pt idx="638">
                  <c:v>0.69122254011085482</c:v>
                </c:pt>
                <c:pt idx="639">
                  <c:v>0.66499411019811316</c:v>
                </c:pt>
                <c:pt idx="640">
                  <c:v>0.63909697400592513</c:v>
                </c:pt>
                <c:pt idx="641">
                  <c:v>0.60781973946339873</c:v>
                </c:pt>
                <c:pt idx="642">
                  <c:v>0.57612627611480016</c:v>
                </c:pt>
                <c:pt idx="643">
                  <c:v>0.53973940308666546</c:v>
                </c:pt>
                <c:pt idx="644">
                  <c:v>0.50459598065778399</c:v>
                </c:pt>
                <c:pt idx="645">
                  <c:v>0.4654409702187336</c:v>
                </c:pt>
                <c:pt idx="646">
                  <c:v>0.43134659976949657</c:v>
                </c:pt>
                <c:pt idx="647">
                  <c:v>0.42690955700104</c:v>
                </c:pt>
                <c:pt idx="648">
                  <c:v>0.77145643900915783</c:v>
                </c:pt>
                <c:pt idx="649">
                  <c:v>0.77145643900915783</c:v>
                </c:pt>
                <c:pt idx="650">
                  <c:v>0.77068498257014872</c:v>
                </c:pt>
                <c:pt idx="651">
                  <c:v>0.77067300983892906</c:v>
                </c:pt>
                <c:pt idx="652">
                  <c:v>0.76448695437332481</c:v>
                </c:pt>
                <c:pt idx="653">
                  <c:v>0.7462179928210797</c:v>
                </c:pt>
                <c:pt idx="654">
                  <c:v>0.73027266839631366</c:v>
                </c:pt>
                <c:pt idx="655">
                  <c:v>0.7101552774493437</c:v>
                </c:pt>
                <c:pt idx="656">
                  <c:v>0.69122254011085482</c:v>
                </c:pt>
                <c:pt idx="657">
                  <c:v>0.66499411019811316</c:v>
                </c:pt>
                <c:pt idx="658">
                  <c:v>0.63909697400592513</c:v>
                </c:pt>
                <c:pt idx="659">
                  <c:v>0.60781973946339873</c:v>
                </c:pt>
                <c:pt idx="660">
                  <c:v>0.57612627611480016</c:v>
                </c:pt>
                <c:pt idx="661">
                  <c:v>0.53973940308666546</c:v>
                </c:pt>
                <c:pt idx="662">
                  <c:v>0.50459598065778399</c:v>
                </c:pt>
                <c:pt idx="663">
                  <c:v>0.4654409702187336</c:v>
                </c:pt>
                <c:pt idx="664">
                  <c:v>0.43134659976949657</c:v>
                </c:pt>
                <c:pt idx="665">
                  <c:v>0.42690955700104</c:v>
                </c:pt>
                <c:pt idx="666">
                  <c:v>0.77145643900915783</c:v>
                </c:pt>
                <c:pt idx="667">
                  <c:v>0.77145643900915783</c:v>
                </c:pt>
                <c:pt idx="668">
                  <c:v>0.77068498257014872</c:v>
                </c:pt>
                <c:pt idx="669">
                  <c:v>0.77067300983892906</c:v>
                </c:pt>
                <c:pt idx="670">
                  <c:v>0.76448695437332481</c:v>
                </c:pt>
                <c:pt idx="671">
                  <c:v>0.7462179928210797</c:v>
                </c:pt>
                <c:pt idx="672">
                  <c:v>0.73027266839631366</c:v>
                </c:pt>
                <c:pt idx="673">
                  <c:v>0.7101552774493437</c:v>
                </c:pt>
                <c:pt idx="674">
                  <c:v>0.69122254011085482</c:v>
                </c:pt>
                <c:pt idx="675">
                  <c:v>0.66499411019811316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9-4488-9A99-8AD79CEA7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021792"/>
        <c:axId val="722022352"/>
      </c:scatterChart>
      <c:valAx>
        <c:axId val="722021792"/>
        <c:scaling>
          <c:orientation val="minMax"/>
          <c:max val="3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22352"/>
        <c:crosses val="autoZero"/>
        <c:crossBetween val="midCat"/>
        <c:majorUnit val="8"/>
      </c:valAx>
      <c:valAx>
        <c:axId val="72202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2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36734470691165"/>
          <c:y val="4.1666666666666664E-2"/>
          <c:w val="0.78095308398950136"/>
          <c:h val="0.81258212339562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V_SG_1_V_SL_1_1cP!$AA$56:$AA$731</c:f>
              <c:numCache>
                <c:formatCode>General</c:formatCode>
                <c:ptCount val="676"/>
                <c:pt idx="0">
                  <c:v>30.105662832572801</c:v>
                </c:pt>
                <c:pt idx="1">
                  <c:v>28.9626628325728</c:v>
                </c:pt>
                <c:pt idx="2">
                  <c:v>28.9626628325728</c:v>
                </c:pt>
                <c:pt idx="3">
                  <c:v>28.962661832572802</c:v>
                </c:pt>
                <c:pt idx="4">
                  <c:v>28.962112942157059</c:v>
                </c:pt>
                <c:pt idx="5">
                  <c:v>28.960067362333429</c:v>
                </c:pt>
                <c:pt idx="6">
                  <c:v>28.957650734544774</c:v>
                </c:pt>
                <c:pt idx="7">
                  <c:v>28.953516652914374</c:v>
                </c:pt>
                <c:pt idx="8">
                  <c:v>28.948198427057648</c:v>
                </c:pt>
                <c:pt idx="9">
                  <c:v>28.937746750162283</c:v>
                </c:pt>
                <c:pt idx="10">
                  <c:v>28.922562243177204</c:v>
                </c:pt>
                <c:pt idx="11">
                  <c:v>28.89475589495715</c:v>
                </c:pt>
                <c:pt idx="12">
                  <c:v>28.850514716630393</c:v>
                </c:pt>
                <c:pt idx="13">
                  <c:v>28.767228816708272</c:v>
                </c:pt>
                <c:pt idx="14">
                  <c:v>28.630412393749975</c:v>
                </c:pt>
                <c:pt idx="15">
                  <c:v>28.355612991642481</c:v>
                </c:pt>
                <c:pt idx="16">
                  <c:v>27.909006333686637</c:v>
                </c:pt>
                <c:pt idx="17">
                  <c:v>27.827361667573342</c:v>
                </c:pt>
                <c:pt idx="18">
                  <c:v>27.827361667573342</c:v>
                </c:pt>
                <c:pt idx="19">
                  <c:v>26.684361667573341</c:v>
                </c:pt>
                <c:pt idx="20">
                  <c:v>26.684361667573341</c:v>
                </c:pt>
                <c:pt idx="21">
                  <c:v>26.684360667573344</c:v>
                </c:pt>
                <c:pt idx="22">
                  <c:v>26.683811777157601</c:v>
                </c:pt>
                <c:pt idx="23">
                  <c:v>26.681766197333971</c:v>
                </c:pt>
                <c:pt idx="24">
                  <c:v>26.679349569545316</c:v>
                </c:pt>
                <c:pt idx="25">
                  <c:v>26.675215487914915</c:v>
                </c:pt>
                <c:pt idx="26">
                  <c:v>26.669897262058189</c:v>
                </c:pt>
                <c:pt idx="27">
                  <c:v>26.659445585162825</c:v>
                </c:pt>
                <c:pt idx="28">
                  <c:v>26.644261078177749</c:v>
                </c:pt>
                <c:pt idx="29">
                  <c:v>26.616454729957692</c:v>
                </c:pt>
                <c:pt idx="30">
                  <c:v>26.572213551630934</c:v>
                </c:pt>
                <c:pt idx="31">
                  <c:v>26.488927651708813</c:v>
                </c:pt>
                <c:pt idx="32">
                  <c:v>26.352111228750516</c:v>
                </c:pt>
                <c:pt idx="33">
                  <c:v>26.077311826643022</c:v>
                </c:pt>
                <c:pt idx="34">
                  <c:v>25.630705168687179</c:v>
                </c:pt>
                <c:pt idx="35">
                  <c:v>25.549060502573884</c:v>
                </c:pt>
                <c:pt idx="36">
                  <c:v>25.549060502573887</c:v>
                </c:pt>
                <c:pt idx="37">
                  <c:v>24.406060502573887</c:v>
                </c:pt>
                <c:pt idx="38">
                  <c:v>24.406060502573887</c:v>
                </c:pt>
                <c:pt idx="39">
                  <c:v>24.406059502573889</c:v>
                </c:pt>
                <c:pt idx="40">
                  <c:v>24.405510612158146</c:v>
                </c:pt>
                <c:pt idx="41">
                  <c:v>24.403465032334516</c:v>
                </c:pt>
                <c:pt idx="42">
                  <c:v>24.401048404545861</c:v>
                </c:pt>
                <c:pt idx="43">
                  <c:v>24.39691432291546</c:v>
                </c:pt>
                <c:pt idx="44">
                  <c:v>24.391596097058734</c:v>
                </c:pt>
                <c:pt idx="45">
                  <c:v>24.38114442016337</c:v>
                </c:pt>
                <c:pt idx="46">
                  <c:v>24.365959913178294</c:v>
                </c:pt>
                <c:pt idx="47">
                  <c:v>24.338153564958237</c:v>
                </c:pt>
                <c:pt idx="48">
                  <c:v>24.293912386631479</c:v>
                </c:pt>
                <c:pt idx="49">
                  <c:v>24.210626486709359</c:v>
                </c:pt>
                <c:pt idx="50">
                  <c:v>24.073810063751061</c:v>
                </c:pt>
                <c:pt idx="51">
                  <c:v>23.799010661643567</c:v>
                </c:pt>
                <c:pt idx="52">
                  <c:v>23.352404003687724</c:v>
                </c:pt>
                <c:pt idx="53">
                  <c:v>23.270759337574429</c:v>
                </c:pt>
                <c:pt idx="54">
                  <c:v>23.270759337574429</c:v>
                </c:pt>
                <c:pt idx="55">
                  <c:v>22.127759337574428</c:v>
                </c:pt>
                <c:pt idx="56">
                  <c:v>22.127759337574428</c:v>
                </c:pt>
                <c:pt idx="57">
                  <c:v>22.127758337574431</c:v>
                </c:pt>
                <c:pt idx="58">
                  <c:v>22.127209447158688</c:v>
                </c:pt>
                <c:pt idx="59">
                  <c:v>22.125163867335058</c:v>
                </c:pt>
                <c:pt idx="60">
                  <c:v>22.122747239546403</c:v>
                </c:pt>
                <c:pt idx="61">
                  <c:v>22.118613157916002</c:v>
                </c:pt>
                <c:pt idx="62">
                  <c:v>22.113294932059276</c:v>
                </c:pt>
                <c:pt idx="63">
                  <c:v>22.102843255163911</c:v>
                </c:pt>
                <c:pt idx="64">
                  <c:v>22.087658748178832</c:v>
                </c:pt>
                <c:pt idx="65">
                  <c:v>22.059852399958778</c:v>
                </c:pt>
                <c:pt idx="66">
                  <c:v>22.015611221632021</c:v>
                </c:pt>
                <c:pt idx="67">
                  <c:v>21.9323253217099</c:v>
                </c:pt>
                <c:pt idx="68">
                  <c:v>21.795508898751603</c:v>
                </c:pt>
                <c:pt idx="69">
                  <c:v>21.520709496644109</c:v>
                </c:pt>
                <c:pt idx="70">
                  <c:v>21.074102838688265</c:v>
                </c:pt>
                <c:pt idx="71">
                  <c:v>20.99245817257497</c:v>
                </c:pt>
                <c:pt idx="72">
                  <c:v>20.99245817257497</c:v>
                </c:pt>
                <c:pt idx="73">
                  <c:v>19.84945817257497</c:v>
                </c:pt>
                <c:pt idx="74">
                  <c:v>19.84945817257497</c:v>
                </c:pt>
                <c:pt idx="75">
                  <c:v>19.849457172574972</c:v>
                </c:pt>
                <c:pt idx="76">
                  <c:v>19.848908282159229</c:v>
                </c:pt>
                <c:pt idx="77">
                  <c:v>19.846862702335599</c:v>
                </c:pt>
                <c:pt idx="78">
                  <c:v>19.844446074546944</c:v>
                </c:pt>
                <c:pt idx="79">
                  <c:v>19.840311992916543</c:v>
                </c:pt>
                <c:pt idx="80">
                  <c:v>19.834993767059817</c:v>
                </c:pt>
                <c:pt idx="81">
                  <c:v>19.824542090164453</c:v>
                </c:pt>
                <c:pt idx="82">
                  <c:v>19.809357583179377</c:v>
                </c:pt>
                <c:pt idx="83">
                  <c:v>19.78155123495932</c:v>
                </c:pt>
                <c:pt idx="84">
                  <c:v>19.737310056632563</c:v>
                </c:pt>
                <c:pt idx="85">
                  <c:v>19.654024156710442</c:v>
                </c:pt>
                <c:pt idx="86">
                  <c:v>19.517207733752144</c:v>
                </c:pt>
                <c:pt idx="87">
                  <c:v>19.242408331644651</c:v>
                </c:pt>
                <c:pt idx="88">
                  <c:v>18.795801673688807</c:v>
                </c:pt>
                <c:pt idx="89">
                  <c:v>18.714157007575512</c:v>
                </c:pt>
                <c:pt idx="90">
                  <c:v>18.714157007575512</c:v>
                </c:pt>
                <c:pt idx="91">
                  <c:v>17.571157007575511</c:v>
                </c:pt>
                <c:pt idx="92">
                  <c:v>17.571157007575511</c:v>
                </c:pt>
                <c:pt idx="93">
                  <c:v>17.571156007575514</c:v>
                </c:pt>
                <c:pt idx="94">
                  <c:v>17.570607117159771</c:v>
                </c:pt>
                <c:pt idx="95">
                  <c:v>17.568561537336141</c:v>
                </c:pt>
                <c:pt idx="96">
                  <c:v>17.566144909547486</c:v>
                </c:pt>
                <c:pt idx="97">
                  <c:v>17.562010827917085</c:v>
                </c:pt>
                <c:pt idx="98">
                  <c:v>17.556692602060359</c:v>
                </c:pt>
                <c:pt idx="99">
                  <c:v>17.546240925164994</c:v>
                </c:pt>
                <c:pt idx="100">
                  <c:v>17.531056418179915</c:v>
                </c:pt>
                <c:pt idx="101">
                  <c:v>17.503250069959861</c:v>
                </c:pt>
                <c:pt idx="102">
                  <c:v>17.459008891633104</c:v>
                </c:pt>
                <c:pt idx="103">
                  <c:v>17.375722991710983</c:v>
                </c:pt>
                <c:pt idx="104">
                  <c:v>17.238906568752686</c:v>
                </c:pt>
                <c:pt idx="105">
                  <c:v>16.964107166645192</c:v>
                </c:pt>
                <c:pt idx="106">
                  <c:v>16.517500508689348</c:v>
                </c:pt>
                <c:pt idx="107">
                  <c:v>16.435855842576053</c:v>
                </c:pt>
                <c:pt idx="108">
                  <c:v>16.435855842576053</c:v>
                </c:pt>
                <c:pt idx="109">
                  <c:v>15.292855842576053</c:v>
                </c:pt>
                <c:pt idx="110">
                  <c:v>15.292855842576053</c:v>
                </c:pt>
                <c:pt idx="111">
                  <c:v>15.292854842576054</c:v>
                </c:pt>
                <c:pt idx="112">
                  <c:v>15.29230595216031</c:v>
                </c:pt>
                <c:pt idx="113">
                  <c:v>15.290260372336681</c:v>
                </c:pt>
                <c:pt idx="114">
                  <c:v>15.287843744548029</c:v>
                </c:pt>
                <c:pt idx="115">
                  <c:v>15.283709662917627</c:v>
                </c:pt>
                <c:pt idx="116">
                  <c:v>15.278391437060902</c:v>
                </c:pt>
                <c:pt idx="117">
                  <c:v>15.267939760165536</c:v>
                </c:pt>
                <c:pt idx="118">
                  <c:v>15.252755253180458</c:v>
                </c:pt>
                <c:pt idx="119">
                  <c:v>15.224948904960401</c:v>
                </c:pt>
                <c:pt idx="120">
                  <c:v>15.180707726633646</c:v>
                </c:pt>
                <c:pt idx="121">
                  <c:v>15.097421826711525</c:v>
                </c:pt>
                <c:pt idx="122">
                  <c:v>14.960605403753227</c:v>
                </c:pt>
                <c:pt idx="123">
                  <c:v>14.685806001645734</c:v>
                </c:pt>
                <c:pt idx="124">
                  <c:v>14.23919934368989</c:v>
                </c:pt>
                <c:pt idx="125">
                  <c:v>14.157554677576595</c:v>
                </c:pt>
                <c:pt idx="126">
                  <c:v>14.157554677576599</c:v>
                </c:pt>
                <c:pt idx="127">
                  <c:v>13.014554677576598</c:v>
                </c:pt>
                <c:pt idx="128">
                  <c:v>13.014554677576598</c:v>
                </c:pt>
                <c:pt idx="129">
                  <c:v>13.014553677576599</c:v>
                </c:pt>
                <c:pt idx="130">
                  <c:v>13.014004787160856</c:v>
                </c:pt>
                <c:pt idx="131">
                  <c:v>13.011959207337226</c:v>
                </c:pt>
                <c:pt idx="132">
                  <c:v>13.009542579548574</c:v>
                </c:pt>
                <c:pt idx="133">
                  <c:v>13.005408497918172</c:v>
                </c:pt>
                <c:pt idx="134">
                  <c:v>13.000090272061447</c:v>
                </c:pt>
                <c:pt idx="135">
                  <c:v>12.989638595166081</c:v>
                </c:pt>
                <c:pt idx="136">
                  <c:v>12.974454088181004</c:v>
                </c:pt>
                <c:pt idx="137">
                  <c:v>12.946647739960946</c:v>
                </c:pt>
                <c:pt idx="138">
                  <c:v>12.902406561634191</c:v>
                </c:pt>
                <c:pt idx="139">
                  <c:v>12.81912066171207</c:v>
                </c:pt>
                <c:pt idx="140">
                  <c:v>12.682304238753773</c:v>
                </c:pt>
                <c:pt idx="141">
                  <c:v>12.407504836646279</c:v>
                </c:pt>
                <c:pt idx="142">
                  <c:v>11.960898178690435</c:v>
                </c:pt>
                <c:pt idx="143">
                  <c:v>11.87925351257714</c:v>
                </c:pt>
                <c:pt idx="144">
                  <c:v>11.87925351257714</c:v>
                </c:pt>
                <c:pt idx="145">
                  <c:v>10.736253512577139</c:v>
                </c:pt>
                <c:pt idx="146">
                  <c:v>10.736253512577139</c:v>
                </c:pt>
                <c:pt idx="147">
                  <c:v>10.73625251257714</c:v>
                </c:pt>
                <c:pt idx="148">
                  <c:v>10.735703622161397</c:v>
                </c:pt>
                <c:pt idx="149">
                  <c:v>10.733658042337767</c:v>
                </c:pt>
                <c:pt idx="150">
                  <c:v>10.731241414549116</c:v>
                </c:pt>
                <c:pt idx="151">
                  <c:v>10.727107332918713</c:v>
                </c:pt>
                <c:pt idx="152">
                  <c:v>10.721789107061989</c:v>
                </c:pt>
                <c:pt idx="153">
                  <c:v>10.711337430166623</c:v>
                </c:pt>
                <c:pt idx="154">
                  <c:v>10.696152923181545</c:v>
                </c:pt>
                <c:pt idx="155">
                  <c:v>10.668346574961488</c:v>
                </c:pt>
                <c:pt idx="156">
                  <c:v>10.624105396634732</c:v>
                </c:pt>
                <c:pt idx="157">
                  <c:v>10.540819496712611</c:v>
                </c:pt>
                <c:pt idx="158">
                  <c:v>10.404003073754314</c:v>
                </c:pt>
                <c:pt idx="159">
                  <c:v>10.12920367164682</c:v>
                </c:pt>
                <c:pt idx="160">
                  <c:v>9.6825970136909767</c:v>
                </c:pt>
                <c:pt idx="161">
                  <c:v>9.6009523475776817</c:v>
                </c:pt>
                <c:pt idx="162">
                  <c:v>9.6009523475776817</c:v>
                </c:pt>
                <c:pt idx="163">
                  <c:v>8.457952347577681</c:v>
                </c:pt>
                <c:pt idx="164">
                  <c:v>8.457952347577681</c:v>
                </c:pt>
                <c:pt idx="165">
                  <c:v>8.4579513475776817</c:v>
                </c:pt>
                <c:pt idx="166">
                  <c:v>8.4574024571619386</c:v>
                </c:pt>
                <c:pt idx="167">
                  <c:v>8.4553568773383088</c:v>
                </c:pt>
                <c:pt idx="168">
                  <c:v>8.4529402495496573</c:v>
                </c:pt>
                <c:pt idx="169">
                  <c:v>8.4488061679192548</c:v>
                </c:pt>
                <c:pt idx="170">
                  <c:v>8.4434879420625304</c:v>
                </c:pt>
                <c:pt idx="171">
                  <c:v>8.4330362651671642</c:v>
                </c:pt>
                <c:pt idx="172">
                  <c:v>8.4178517581820866</c:v>
                </c:pt>
                <c:pt idx="173">
                  <c:v>8.3900454099620294</c:v>
                </c:pt>
                <c:pt idx="174">
                  <c:v>8.3458042316352739</c:v>
                </c:pt>
                <c:pt idx="175">
                  <c:v>8.262518331713153</c:v>
                </c:pt>
                <c:pt idx="176">
                  <c:v>8.1257019087548557</c:v>
                </c:pt>
                <c:pt idx="177">
                  <c:v>7.8509025066473628</c:v>
                </c:pt>
                <c:pt idx="178">
                  <c:v>7.4042958486915182</c:v>
                </c:pt>
                <c:pt idx="179">
                  <c:v>7.3226511825782241</c:v>
                </c:pt>
                <c:pt idx="180">
                  <c:v>7.3226511825782232</c:v>
                </c:pt>
                <c:pt idx="181">
                  <c:v>6.1796511825782234</c:v>
                </c:pt>
                <c:pt idx="182">
                  <c:v>6.1796511825782234</c:v>
                </c:pt>
                <c:pt idx="183">
                  <c:v>6.1796501825782233</c:v>
                </c:pt>
                <c:pt idx="184">
                  <c:v>6.1791012921624802</c:v>
                </c:pt>
                <c:pt idx="185">
                  <c:v>6.1770557123388512</c:v>
                </c:pt>
                <c:pt idx="186">
                  <c:v>6.1746390845501988</c:v>
                </c:pt>
                <c:pt idx="187">
                  <c:v>6.1705050029197963</c:v>
                </c:pt>
                <c:pt idx="188">
                  <c:v>6.1651867770630711</c:v>
                </c:pt>
                <c:pt idx="189">
                  <c:v>6.1547351001677058</c:v>
                </c:pt>
                <c:pt idx="190">
                  <c:v>6.1395505931826282</c:v>
                </c:pt>
                <c:pt idx="191">
                  <c:v>6.1117442449625718</c:v>
                </c:pt>
                <c:pt idx="192">
                  <c:v>6.0675030666358163</c:v>
                </c:pt>
                <c:pt idx="193">
                  <c:v>5.9842171667136954</c:v>
                </c:pt>
                <c:pt idx="194">
                  <c:v>5.8474007437553972</c:v>
                </c:pt>
                <c:pt idx="195">
                  <c:v>5.5726013416479043</c:v>
                </c:pt>
                <c:pt idx="196">
                  <c:v>5.1259946836920598</c:v>
                </c:pt>
                <c:pt idx="197">
                  <c:v>5.0443500175787657</c:v>
                </c:pt>
                <c:pt idx="198">
                  <c:v>5.0443500175787683</c:v>
                </c:pt>
                <c:pt idx="199">
                  <c:v>3.9013500175787685</c:v>
                </c:pt>
                <c:pt idx="200">
                  <c:v>3.9013500175787685</c:v>
                </c:pt>
                <c:pt idx="201">
                  <c:v>3.9013490175787684</c:v>
                </c:pt>
                <c:pt idx="202">
                  <c:v>3.9008001271630253</c:v>
                </c:pt>
                <c:pt idx="203">
                  <c:v>3.8987545473393963</c:v>
                </c:pt>
                <c:pt idx="204">
                  <c:v>3.8963379195507439</c:v>
                </c:pt>
                <c:pt idx="205">
                  <c:v>3.892203837920341</c:v>
                </c:pt>
                <c:pt idx="206">
                  <c:v>3.8868856120636162</c:v>
                </c:pt>
                <c:pt idx="207">
                  <c:v>3.8764339351682513</c:v>
                </c:pt>
                <c:pt idx="208">
                  <c:v>3.8612494281831733</c:v>
                </c:pt>
                <c:pt idx="209">
                  <c:v>3.833443079963117</c:v>
                </c:pt>
                <c:pt idx="210">
                  <c:v>3.7892019016363614</c:v>
                </c:pt>
                <c:pt idx="211">
                  <c:v>3.7059160017142405</c:v>
                </c:pt>
                <c:pt idx="212">
                  <c:v>3.5690995787559427</c:v>
                </c:pt>
                <c:pt idx="213">
                  <c:v>3.2943001766484494</c:v>
                </c:pt>
                <c:pt idx="214">
                  <c:v>2.8476935186926045</c:v>
                </c:pt>
                <c:pt idx="215">
                  <c:v>2.7660488525793108</c:v>
                </c:pt>
                <c:pt idx="216">
                  <c:v>2.7660488525793099</c:v>
                </c:pt>
                <c:pt idx="217">
                  <c:v>1.6230488525793101</c:v>
                </c:pt>
                <c:pt idx="218">
                  <c:v>1.6230488525793101</c:v>
                </c:pt>
                <c:pt idx="219">
                  <c:v>1.6230478525793102</c:v>
                </c:pt>
                <c:pt idx="220">
                  <c:v>1.622498962163567</c:v>
                </c:pt>
                <c:pt idx="221">
                  <c:v>1.6204533823399376</c:v>
                </c:pt>
                <c:pt idx="222">
                  <c:v>1.6180367545512853</c:v>
                </c:pt>
                <c:pt idx="223">
                  <c:v>1.6139026729208825</c:v>
                </c:pt>
                <c:pt idx="224">
                  <c:v>1.6085844470641579</c:v>
                </c:pt>
                <c:pt idx="225">
                  <c:v>1.5981327701687928</c:v>
                </c:pt>
                <c:pt idx="226">
                  <c:v>1.5829482631837148</c:v>
                </c:pt>
                <c:pt idx="227">
                  <c:v>1.5551419149636583</c:v>
                </c:pt>
                <c:pt idx="228">
                  <c:v>1.5109007366369027</c:v>
                </c:pt>
                <c:pt idx="229">
                  <c:v>1.4276148367147818</c:v>
                </c:pt>
                <c:pt idx="230">
                  <c:v>1.2907984137564843</c:v>
                </c:pt>
                <c:pt idx="231">
                  <c:v>1.0159990116489908</c:v>
                </c:pt>
                <c:pt idx="232">
                  <c:v>0.569392353693146</c:v>
                </c:pt>
                <c:pt idx="233">
                  <c:v>0.48774768757985232</c:v>
                </c:pt>
                <c:pt idx="234">
                  <c:v>0.48774768757985143</c:v>
                </c:pt>
                <c:pt idx="235">
                  <c:v>-0.65525231242014836</c:v>
                </c:pt>
                <c:pt idx="236">
                  <c:v>-0.65525231242014836</c:v>
                </c:pt>
                <c:pt idx="237">
                  <c:v>-0.65525331242014828</c:v>
                </c:pt>
                <c:pt idx="238">
                  <c:v>-0.65580220283589141</c:v>
                </c:pt>
                <c:pt idx="239">
                  <c:v>-0.65784778265952082</c:v>
                </c:pt>
                <c:pt idx="240">
                  <c:v>-0.66026441044817319</c:v>
                </c:pt>
                <c:pt idx="241">
                  <c:v>-0.66439849207857593</c:v>
                </c:pt>
                <c:pt idx="242">
                  <c:v>-0.66971671793530052</c:v>
                </c:pt>
                <c:pt idx="243">
                  <c:v>-0.6801683948306656</c:v>
                </c:pt>
                <c:pt idx="244">
                  <c:v>-0.69535290181574361</c:v>
                </c:pt>
                <c:pt idx="245">
                  <c:v>-0.72315925003580017</c:v>
                </c:pt>
                <c:pt idx="246">
                  <c:v>-0.76740042836255573</c:v>
                </c:pt>
                <c:pt idx="247">
                  <c:v>-0.85068632828467661</c:v>
                </c:pt>
                <c:pt idx="248">
                  <c:v>-0.98750275124297415</c:v>
                </c:pt>
                <c:pt idx="249">
                  <c:v>-1.2623021533504677</c:v>
                </c:pt>
                <c:pt idx="250">
                  <c:v>-1.7089088113063124</c:v>
                </c:pt>
                <c:pt idx="251">
                  <c:v>-1.7905534774196061</c:v>
                </c:pt>
                <c:pt idx="252">
                  <c:v>-1.7905534774196035</c:v>
                </c:pt>
                <c:pt idx="253">
                  <c:v>-2.9335534774196033</c:v>
                </c:pt>
                <c:pt idx="254">
                  <c:v>-2.9335534774196033</c:v>
                </c:pt>
                <c:pt idx="255">
                  <c:v>-2.9335544774196034</c:v>
                </c:pt>
                <c:pt idx="256">
                  <c:v>-2.9341033678353465</c:v>
                </c:pt>
                <c:pt idx="257">
                  <c:v>-2.9361489476589755</c:v>
                </c:pt>
                <c:pt idx="258">
                  <c:v>-2.9385655754476279</c:v>
                </c:pt>
                <c:pt idx="259">
                  <c:v>-2.9426996570780308</c:v>
                </c:pt>
                <c:pt idx="260">
                  <c:v>-2.9480178829347556</c:v>
                </c:pt>
                <c:pt idx="261">
                  <c:v>-2.9584695598301205</c:v>
                </c:pt>
                <c:pt idx="262">
                  <c:v>-2.9736540668151985</c:v>
                </c:pt>
                <c:pt idx="263">
                  <c:v>-3.0014604150352548</c:v>
                </c:pt>
                <c:pt idx="264">
                  <c:v>-3.0457015933620104</c:v>
                </c:pt>
                <c:pt idx="265">
                  <c:v>-3.1289874932841313</c:v>
                </c:pt>
                <c:pt idx="266">
                  <c:v>-3.2658039162424291</c:v>
                </c:pt>
                <c:pt idx="267">
                  <c:v>-3.5406033183499224</c:v>
                </c:pt>
                <c:pt idx="268">
                  <c:v>-3.9872099763057673</c:v>
                </c:pt>
                <c:pt idx="269">
                  <c:v>-4.068854642419061</c:v>
                </c:pt>
                <c:pt idx="270">
                  <c:v>-4.0688546424190655</c:v>
                </c:pt>
                <c:pt idx="271">
                  <c:v>-5.2118546424190653</c:v>
                </c:pt>
                <c:pt idx="272">
                  <c:v>-5.2118546424190653</c:v>
                </c:pt>
                <c:pt idx="273">
                  <c:v>-5.2118556424190654</c:v>
                </c:pt>
                <c:pt idx="274">
                  <c:v>-5.2124045328348085</c:v>
                </c:pt>
                <c:pt idx="275">
                  <c:v>-5.2144501126584375</c:v>
                </c:pt>
                <c:pt idx="276">
                  <c:v>-5.2168667404470899</c:v>
                </c:pt>
                <c:pt idx="277">
                  <c:v>-5.2210008220774924</c:v>
                </c:pt>
                <c:pt idx="278">
                  <c:v>-5.2263190479342176</c:v>
                </c:pt>
                <c:pt idx="279">
                  <c:v>-5.2367707248295829</c:v>
                </c:pt>
                <c:pt idx="280">
                  <c:v>-5.2519552318146605</c:v>
                </c:pt>
                <c:pt idx="281">
                  <c:v>-5.2797615800347169</c:v>
                </c:pt>
                <c:pt idx="282">
                  <c:v>-5.3240027583614724</c:v>
                </c:pt>
                <c:pt idx="283">
                  <c:v>-5.4072886582835933</c:v>
                </c:pt>
                <c:pt idx="284">
                  <c:v>-5.5441050812418915</c:v>
                </c:pt>
                <c:pt idx="285">
                  <c:v>-5.8189044833493844</c:v>
                </c:pt>
                <c:pt idx="286">
                  <c:v>-6.2655111413052289</c:v>
                </c:pt>
                <c:pt idx="287">
                  <c:v>-6.347155807418523</c:v>
                </c:pt>
                <c:pt idx="288">
                  <c:v>-6.3471558074185204</c:v>
                </c:pt>
                <c:pt idx="289">
                  <c:v>-7.4901558074185202</c:v>
                </c:pt>
                <c:pt idx="290">
                  <c:v>-7.4901558074185202</c:v>
                </c:pt>
                <c:pt idx="291">
                  <c:v>-7.4901568074185203</c:v>
                </c:pt>
                <c:pt idx="292">
                  <c:v>-7.4907056978342634</c:v>
                </c:pt>
                <c:pt idx="293">
                  <c:v>-7.4927512776578924</c:v>
                </c:pt>
                <c:pt idx="294">
                  <c:v>-7.4951679054465448</c:v>
                </c:pt>
                <c:pt idx="295">
                  <c:v>-7.4993019870769473</c:v>
                </c:pt>
                <c:pt idx="296">
                  <c:v>-7.5046202129336725</c:v>
                </c:pt>
                <c:pt idx="297">
                  <c:v>-7.5150718898290378</c:v>
                </c:pt>
                <c:pt idx="298">
                  <c:v>-7.5302563968141154</c:v>
                </c:pt>
                <c:pt idx="299">
                  <c:v>-7.5580627450341717</c:v>
                </c:pt>
                <c:pt idx="300">
                  <c:v>-7.6023039233609273</c:v>
                </c:pt>
                <c:pt idx="301">
                  <c:v>-7.6855898232830482</c:v>
                </c:pt>
                <c:pt idx="302">
                  <c:v>-7.8224062462413464</c:v>
                </c:pt>
                <c:pt idx="303">
                  <c:v>-8.0972056483488402</c:v>
                </c:pt>
                <c:pt idx="304">
                  <c:v>-8.5438123063046838</c:v>
                </c:pt>
                <c:pt idx="305">
                  <c:v>-8.6254569724179788</c:v>
                </c:pt>
                <c:pt idx="306">
                  <c:v>-8.6254569724179753</c:v>
                </c:pt>
                <c:pt idx="307">
                  <c:v>-9.7684569724179759</c:v>
                </c:pt>
                <c:pt idx="308">
                  <c:v>-9.7684569724179759</c:v>
                </c:pt>
                <c:pt idx="309">
                  <c:v>-9.7684579724179752</c:v>
                </c:pt>
                <c:pt idx="310">
                  <c:v>-9.7690068628337183</c:v>
                </c:pt>
                <c:pt idx="311">
                  <c:v>-9.7710524426573482</c:v>
                </c:pt>
                <c:pt idx="312">
                  <c:v>-9.7734690704459997</c:v>
                </c:pt>
                <c:pt idx="313">
                  <c:v>-9.7776031520764022</c:v>
                </c:pt>
                <c:pt idx="314">
                  <c:v>-9.7829213779331265</c:v>
                </c:pt>
                <c:pt idx="315">
                  <c:v>-9.7933730548284927</c:v>
                </c:pt>
                <c:pt idx="316">
                  <c:v>-9.8085575618135703</c:v>
                </c:pt>
                <c:pt idx="317">
                  <c:v>-9.8363639100336275</c:v>
                </c:pt>
                <c:pt idx="318">
                  <c:v>-9.8806050883603831</c:v>
                </c:pt>
                <c:pt idx="319">
                  <c:v>-9.963890988282504</c:v>
                </c:pt>
                <c:pt idx="320">
                  <c:v>-10.100707411240801</c:v>
                </c:pt>
                <c:pt idx="321">
                  <c:v>-10.375506813348295</c:v>
                </c:pt>
                <c:pt idx="322">
                  <c:v>-10.822113471304139</c:v>
                </c:pt>
                <c:pt idx="323">
                  <c:v>-10.903758137417434</c:v>
                </c:pt>
                <c:pt idx="324">
                  <c:v>-10.903758137417437</c:v>
                </c:pt>
                <c:pt idx="325">
                  <c:v>-12.046758137417438</c:v>
                </c:pt>
                <c:pt idx="326">
                  <c:v>-12.046758137417438</c:v>
                </c:pt>
                <c:pt idx="327">
                  <c:v>-12.046759137417437</c:v>
                </c:pt>
                <c:pt idx="328">
                  <c:v>-12.04730802783318</c:v>
                </c:pt>
                <c:pt idx="329">
                  <c:v>-12.04935360765681</c:v>
                </c:pt>
                <c:pt idx="330">
                  <c:v>-12.051770235445462</c:v>
                </c:pt>
                <c:pt idx="331">
                  <c:v>-12.055904317075864</c:v>
                </c:pt>
                <c:pt idx="332">
                  <c:v>-12.061222542932589</c:v>
                </c:pt>
                <c:pt idx="333">
                  <c:v>-12.071674219827955</c:v>
                </c:pt>
                <c:pt idx="334">
                  <c:v>-12.086858726813032</c:v>
                </c:pt>
                <c:pt idx="335">
                  <c:v>-12.11466507503309</c:v>
                </c:pt>
                <c:pt idx="336">
                  <c:v>-12.158906253359845</c:v>
                </c:pt>
                <c:pt idx="337">
                  <c:v>-12.242192153281966</c:v>
                </c:pt>
                <c:pt idx="338">
                  <c:v>-12.379008576240263</c:v>
                </c:pt>
                <c:pt idx="339">
                  <c:v>-12.653807978347757</c:v>
                </c:pt>
                <c:pt idx="340">
                  <c:v>-13.100414636303601</c:v>
                </c:pt>
                <c:pt idx="341">
                  <c:v>-13.182059302416896</c:v>
                </c:pt>
                <c:pt idx="342">
                  <c:v>-13.182059302416892</c:v>
                </c:pt>
                <c:pt idx="343">
                  <c:v>-14.325059302416893</c:v>
                </c:pt>
                <c:pt idx="344">
                  <c:v>-14.325059302416893</c:v>
                </c:pt>
                <c:pt idx="345">
                  <c:v>-14.325060302416892</c:v>
                </c:pt>
                <c:pt idx="346">
                  <c:v>-14.325609192832635</c:v>
                </c:pt>
                <c:pt idx="347">
                  <c:v>-14.327654772656265</c:v>
                </c:pt>
                <c:pt idx="348">
                  <c:v>-14.330071400444917</c:v>
                </c:pt>
                <c:pt idx="349">
                  <c:v>-14.334205482075319</c:v>
                </c:pt>
                <c:pt idx="350">
                  <c:v>-14.339523707932043</c:v>
                </c:pt>
                <c:pt idx="351">
                  <c:v>-14.34997538482741</c:v>
                </c:pt>
                <c:pt idx="352">
                  <c:v>-14.365159891812487</c:v>
                </c:pt>
                <c:pt idx="353">
                  <c:v>-14.392966240032544</c:v>
                </c:pt>
                <c:pt idx="354">
                  <c:v>-14.4372074183593</c:v>
                </c:pt>
                <c:pt idx="355">
                  <c:v>-14.520493318281421</c:v>
                </c:pt>
                <c:pt idx="356">
                  <c:v>-14.657309741239718</c:v>
                </c:pt>
                <c:pt idx="357">
                  <c:v>-14.932109143347212</c:v>
                </c:pt>
                <c:pt idx="358">
                  <c:v>-15.378715801303056</c:v>
                </c:pt>
                <c:pt idx="359">
                  <c:v>-15.460360467416351</c:v>
                </c:pt>
                <c:pt idx="360">
                  <c:v>-15.460360467416354</c:v>
                </c:pt>
                <c:pt idx="361">
                  <c:v>-16.603360467416355</c:v>
                </c:pt>
                <c:pt idx="362">
                  <c:v>-16.603360467416355</c:v>
                </c:pt>
                <c:pt idx="363">
                  <c:v>-16.603361467416352</c:v>
                </c:pt>
                <c:pt idx="364">
                  <c:v>-16.603910357832095</c:v>
                </c:pt>
                <c:pt idx="365">
                  <c:v>-16.605955937655725</c:v>
                </c:pt>
                <c:pt idx="366">
                  <c:v>-16.60837256544438</c:v>
                </c:pt>
                <c:pt idx="367">
                  <c:v>-16.612506647074781</c:v>
                </c:pt>
                <c:pt idx="368">
                  <c:v>-16.617824872931507</c:v>
                </c:pt>
                <c:pt idx="369">
                  <c:v>-16.628276549826872</c:v>
                </c:pt>
                <c:pt idx="370">
                  <c:v>-16.643461056811951</c:v>
                </c:pt>
                <c:pt idx="371">
                  <c:v>-16.671267405032005</c:v>
                </c:pt>
                <c:pt idx="372">
                  <c:v>-16.715508583358762</c:v>
                </c:pt>
                <c:pt idx="373">
                  <c:v>-16.798794483280883</c:v>
                </c:pt>
                <c:pt idx="374">
                  <c:v>-16.93561090623918</c:v>
                </c:pt>
                <c:pt idx="375">
                  <c:v>-17.210410308346674</c:v>
                </c:pt>
                <c:pt idx="376">
                  <c:v>-17.657016966302518</c:v>
                </c:pt>
                <c:pt idx="377">
                  <c:v>-17.738661632415813</c:v>
                </c:pt>
                <c:pt idx="378">
                  <c:v>-17.738661632415809</c:v>
                </c:pt>
                <c:pt idx="379">
                  <c:v>-18.88166163241581</c:v>
                </c:pt>
                <c:pt idx="380">
                  <c:v>-18.88166163241581</c:v>
                </c:pt>
                <c:pt idx="381">
                  <c:v>-18.881662632415807</c:v>
                </c:pt>
                <c:pt idx="382">
                  <c:v>-18.88221152283155</c:v>
                </c:pt>
                <c:pt idx="383">
                  <c:v>-18.88425710265518</c:v>
                </c:pt>
                <c:pt idx="384">
                  <c:v>-18.886673730443835</c:v>
                </c:pt>
                <c:pt idx="385">
                  <c:v>-18.890807812074236</c:v>
                </c:pt>
                <c:pt idx="386">
                  <c:v>-18.896126037930962</c:v>
                </c:pt>
                <c:pt idx="387">
                  <c:v>-18.906577714826327</c:v>
                </c:pt>
                <c:pt idx="388">
                  <c:v>-18.921762221811406</c:v>
                </c:pt>
                <c:pt idx="389">
                  <c:v>-18.94956857003146</c:v>
                </c:pt>
                <c:pt idx="390">
                  <c:v>-18.993809748358217</c:v>
                </c:pt>
                <c:pt idx="391">
                  <c:v>-19.077095648280338</c:v>
                </c:pt>
                <c:pt idx="392">
                  <c:v>-19.213912071238635</c:v>
                </c:pt>
                <c:pt idx="393">
                  <c:v>-19.488711473346129</c:v>
                </c:pt>
                <c:pt idx="394">
                  <c:v>-19.935318131301972</c:v>
                </c:pt>
                <c:pt idx="395">
                  <c:v>-20.016962797415268</c:v>
                </c:pt>
                <c:pt idx="396">
                  <c:v>-20.016962797415264</c:v>
                </c:pt>
                <c:pt idx="397">
                  <c:v>-21.159962797415265</c:v>
                </c:pt>
                <c:pt idx="398">
                  <c:v>-21.159962797415265</c:v>
                </c:pt>
                <c:pt idx="399">
                  <c:v>-21.159963797415262</c:v>
                </c:pt>
                <c:pt idx="400">
                  <c:v>-21.160512687831005</c:v>
                </c:pt>
                <c:pt idx="401">
                  <c:v>-21.162558267654635</c:v>
                </c:pt>
                <c:pt idx="402">
                  <c:v>-21.16497489544329</c:v>
                </c:pt>
                <c:pt idx="403">
                  <c:v>-21.169108977073691</c:v>
                </c:pt>
                <c:pt idx="404">
                  <c:v>-21.174427202930417</c:v>
                </c:pt>
                <c:pt idx="405">
                  <c:v>-21.184878879825781</c:v>
                </c:pt>
                <c:pt idx="406">
                  <c:v>-21.200063386810861</c:v>
                </c:pt>
                <c:pt idx="407">
                  <c:v>-21.227869735030914</c:v>
                </c:pt>
                <c:pt idx="408">
                  <c:v>-21.272110913357672</c:v>
                </c:pt>
                <c:pt idx="409">
                  <c:v>-21.355396813279793</c:v>
                </c:pt>
                <c:pt idx="410">
                  <c:v>-21.49221323623809</c:v>
                </c:pt>
                <c:pt idx="411">
                  <c:v>-21.767012638345584</c:v>
                </c:pt>
                <c:pt idx="412">
                  <c:v>-22.213619296301427</c:v>
                </c:pt>
                <c:pt idx="413">
                  <c:v>-22.295263962414722</c:v>
                </c:pt>
                <c:pt idx="414">
                  <c:v>-22.295263962414726</c:v>
                </c:pt>
                <c:pt idx="415">
                  <c:v>-23.438263962414727</c:v>
                </c:pt>
                <c:pt idx="416">
                  <c:v>-23.438263962414727</c:v>
                </c:pt>
                <c:pt idx="417">
                  <c:v>-23.438264962414724</c:v>
                </c:pt>
                <c:pt idx="418">
                  <c:v>-23.438813852830467</c:v>
                </c:pt>
                <c:pt idx="419">
                  <c:v>-23.440859432654097</c:v>
                </c:pt>
                <c:pt idx="420">
                  <c:v>-23.443276060442752</c:v>
                </c:pt>
                <c:pt idx="421">
                  <c:v>-23.447410142073153</c:v>
                </c:pt>
                <c:pt idx="422">
                  <c:v>-23.452728367929879</c:v>
                </c:pt>
                <c:pt idx="423">
                  <c:v>-23.463180044825243</c:v>
                </c:pt>
                <c:pt idx="424">
                  <c:v>-23.478364551810323</c:v>
                </c:pt>
                <c:pt idx="425">
                  <c:v>-23.506170900030376</c:v>
                </c:pt>
                <c:pt idx="426">
                  <c:v>-23.550412078357134</c:v>
                </c:pt>
                <c:pt idx="427">
                  <c:v>-23.633697978279255</c:v>
                </c:pt>
                <c:pt idx="428">
                  <c:v>-23.770514401237552</c:v>
                </c:pt>
                <c:pt idx="429">
                  <c:v>-24.045313803345046</c:v>
                </c:pt>
                <c:pt idx="430">
                  <c:v>-24.491920461300889</c:v>
                </c:pt>
                <c:pt idx="431">
                  <c:v>-24.573565127414184</c:v>
                </c:pt>
                <c:pt idx="432">
                  <c:v>-24.573565127414181</c:v>
                </c:pt>
                <c:pt idx="433">
                  <c:v>-25.716565127414182</c:v>
                </c:pt>
                <c:pt idx="434">
                  <c:v>-25.716565127414182</c:v>
                </c:pt>
                <c:pt idx="435">
                  <c:v>-25.716566127414179</c:v>
                </c:pt>
                <c:pt idx="436">
                  <c:v>-25.717115017829922</c:v>
                </c:pt>
                <c:pt idx="437">
                  <c:v>-25.719160597653552</c:v>
                </c:pt>
                <c:pt idx="438">
                  <c:v>-25.721577225442207</c:v>
                </c:pt>
                <c:pt idx="439">
                  <c:v>-25.725711307072608</c:v>
                </c:pt>
                <c:pt idx="440">
                  <c:v>-25.731029532929334</c:v>
                </c:pt>
                <c:pt idx="441">
                  <c:v>-25.741481209824698</c:v>
                </c:pt>
                <c:pt idx="442">
                  <c:v>-25.756665716809778</c:v>
                </c:pt>
                <c:pt idx="443">
                  <c:v>-25.784472065029831</c:v>
                </c:pt>
                <c:pt idx="444">
                  <c:v>-25.828713243356589</c:v>
                </c:pt>
                <c:pt idx="445">
                  <c:v>-25.91199914327871</c:v>
                </c:pt>
                <c:pt idx="446">
                  <c:v>-26.048815566237007</c:v>
                </c:pt>
                <c:pt idx="447">
                  <c:v>-26.323614968344501</c:v>
                </c:pt>
                <c:pt idx="448">
                  <c:v>-26.770221626300344</c:v>
                </c:pt>
                <c:pt idx="449">
                  <c:v>-26.851866292413639</c:v>
                </c:pt>
                <c:pt idx="450">
                  <c:v>-26.851866292413636</c:v>
                </c:pt>
                <c:pt idx="451">
                  <c:v>-27.994866292413636</c:v>
                </c:pt>
                <c:pt idx="452">
                  <c:v>-27.994866292413636</c:v>
                </c:pt>
                <c:pt idx="453">
                  <c:v>-27.994867292413634</c:v>
                </c:pt>
                <c:pt idx="454">
                  <c:v>-27.995416182829377</c:v>
                </c:pt>
                <c:pt idx="455">
                  <c:v>-27.997461762653007</c:v>
                </c:pt>
                <c:pt idx="456">
                  <c:v>-27.999878390441662</c:v>
                </c:pt>
                <c:pt idx="457">
                  <c:v>-28.004012472072063</c:v>
                </c:pt>
                <c:pt idx="458">
                  <c:v>-28.009330697928789</c:v>
                </c:pt>
                <c:pt idx="459">
                  <c:v>-28.019782374824153</c:v>
                </c:pt>
                <c:pt idx="460">
                  <c:v>-28.034966881809233</c:v>
                </c:pt>
                <c:pt idx="461">
                  <c:v>-28.062773230029286</c:v>
                </c:pt>
                <c:pt idx="462">
                  <c:v>-28.107014408356044</c:v>
                </c:pt>
                <c:pt idx="463">
                  <c:v>-28.190300308278164</c:v>
                </c:pt>
                <c:pt idx="464">
                  <c:v>-28.327116731236462</c:v>
                </c:pt>
                <c:pt idx="465">
                  <c:v>-28.601916133343956</c:v>
                </c:pt>
                <c:pt idx="466">
                  <c:v>-29.048522791299799</c:v>
                </c:pt>
                <c:pt idx="467">
                  <c:v>-29.130167457413094</c:v>
                </c:pt>
                <c:pt idx="468">
                  <c:v>-29.130167457413098</c:v>
                </c:pt>
                <c:pt idx="469">
                  <c:v>-30.273167457413098</c:v>
                </c:pt>
                <c:pt idx="470">
                  <c:v>-30.273167457413098</c:v>
                </c:pt>
                <c:pt idx="471">
                  <c:v>-30.273168457413096</c:v>
                </c:pt>
                <c:pt idx="472">
                  <c:v>-30.273717347828839</c:v>
                </c:pt>
                <c:pt idx="473">
                  <c:v>-30.275762927652469</c:v>
                </c:pt>
                <c:pt idx="474">
                  <c:v>-30.278179555441124</c:v>
                </c:pt>
                <c:pt idx="475">
                  <c:v>-30.282313637071525</c:v>
                </c:pt>
                <c:pt idx="476">
                  <c:v>-30.287631862928251</c:v>
                </c:pt>
                <c:pt idx="477">
                  <c:v>-30.298083539823615</c:v>
                </c:pt>
                <c:pt idx="478">
                  <c:v>-30.313268046808695</c:v>
                </c:pt>
                <c:pt idx="479">
                  <c:v>-30.341074395028748</c:v>
                </c:pt>
                <c:pt idx="480">
                  <c:v>-30.385315573355506</c:v>
                </c:pt>
                <c:pt idx="481">
                  <c:v>-30.468601473277626</c:v>
                </c:pt>
                <c:pt idx="482">
                  <c:v>-30.605417896235924</c:v>
                </c:pt>
                <c:pt idx="483">
                  <c:v>-30.880217298343418</c:v>
                </c:pt>
                <c:pt idx="484">
                  <c:v>-31.326823956299261</c:v>
                </c:pt>
                <c:pt idx="485">
                  <c:v>-31.408468622412556</c:v>
                </c:pt>
                <c:pt idx="486">
                  <c:v>-31.408468622412553</c:v>
                </c:pt>
                <c:pt idx="487">
                  <c:v>-32.55146862241255</c:v>
                </c:pt>
                <c:pt idx="488">
                  <c:v>-32.55146862241255</c:v>
                </c:pt>
                <c:pt idx="489">
                  <c:v>-32.551469622412554</c:v>
                </c:pt>
                <c:pt idx="490">
                  <c:v>-32.552018512828298</c:v>
                </c:pt>
                <c:pt idx="491">
                  <c:v>-32.554064092651927</c:v>
                </c:pt>
                <c:pt idx="492">
                  <c:v>-32.556480720440575</c:v>
                </c:pt>
                <c:pt idx="493">
                  <c:v>-32.56061480207098</c:v>
                </c:pt>
                <c:pt idx="494">
                  <c:v>-32.565933027927706</c:v>
                </c:pt>
                <c:pt idx="495">
                  <c:v>-32.57638470482307</c:v>
                </c:pt>
                <c:pt idx="496">
                  <c:v>-32.591569211808149</c:v>
                </c:pt>
                <c:pt idx="497">
                  <c:v>-32.619375560028203</c:v>
                </c:pt>
                <c:pt idx="498">
                  <c:v>-32.66361673835496</c:v>
                </c:pt>
                <c:pt idx="499">
                  <c:v>-32.746902638277078</c:v>
                </c:pt>
                <c:pt idx="500">
                  <c:v>-32.883719061235375</c:v>
                </c:pt>
                <c:pt idx="501">
                  <c:v>-33.158518463342872</c:v>
                </c:pt>
                <c:pt idx="502">
                  <c:v>-33.60512512129872</c:v>
                </c:pt>
                <c:pt idx="503">
                  <c:v>-33.686769787412011</c:v>
                </c:pt>
                <c:pt idx="504">
                  <c:v>-33.686769787412004</c:v>
                </c:pt>
                <c:pt idx="505">
                  <c:v>-34.829769787412005</c:v>
                </c:pt>
                <c:pt idx="506">
                  <c:v>-34.829769787412005</c:v>
                </c:pt>
                <c:pt idx="507">
                  <c:v>-34.829770787412002</c:v>
                </c:pt>
                <c:pt idx="508">
                  <c:v>-34.830319677827745</c:v>
                </c:pt>
                <c:pt idx="509">
                  <c:v>-34.832365257651375</c:v>
                </c:pt>
                <c:pt idx="510">
                  <c:v>-34.83478188544003</c:v>
                </c:pt>
                <c:pt idx="511">
                  <c:v>-34.838915967070434</c:v>
                </c:pt>
                <c:pt idx="512">
                  <c:v>-34.844234192927154</c:v>
                </c:pt>
                <c:pt idx="513">
                  <c:v>-34.854685869822518</c:v>
                </c:pt>
                <c:pt idx="514">
                  <c:v>-34.869870376807597</c:v>
                </c:pt>
                <c:pt idx="515">
                  <c:v>-34.897676725027658</c:v>
                </c:pt>
                <c:pt idx="516">
                  <c:v>-34.941917903354408</c:v>
                </c:pt>
                <c:pt idx="517">
                  <c:v>-35.025203803276533</c:v>
                </c:pt>
                <c:pt idx="518">
                  <c:v>-35.16202022623483</c:v>
                </c:pt>
                <c:pt idx="519">
                  <c:v>-35.43681962834232</c:v>
                </c:pt>
                <c:pt idx="520">
                  <c:v>-35.883426286298167</c:v>
                </c:pt>
                <c:pt idx="521">
                  <c:v>-35.965070952411459</c:v>
                </c:pt>
                <c:pt idx="522">
                  <c:v>-35.965070952411466</c:v>
                </c:pt>
                <c:pt idx="523">
                  <c:v>-37.108070952411467</c:v>
                </c:pt>
                <c:pt idx="524">
                  <c:v>-37.108070952411467</c:v>
                </c:pt>
                <c:pt idx="525">
                  <c:v>-37.108071952411464</c:v>
                </c:pt>
                <c:pt idx="526">
                  <c:v>-37.108620842827207</c:v>
                </c:pt>
                <c:pt idx="527">
                  <c:v>-37.110666422650837</c:v>
                </c:pt>
                <c:pt idx="528">
                  <c:v>-37.113083050439492</c:v>
                </c:pt>
                <c:pt idx="529">
                  <c:v>-37.117217132069896</c:v>
                </c:pt>
                <c:pt idx="530">
                  <c:v>-37.122535357926616</c:v>
                </c:pt>
                <c:pt idx="531">
                  <c:v>-37.13298703482198</c:v>
                </c:pt>
                <c:pt idx="532">
                  <c:v>-37.148171541807059</c:v>
                </c:pt>
                <c:pt idx="533">
                  <c:v>-37.17597789002712</c:v>
                </c:pt>
                <c:pt idx="534">
                  <c:v>-37.22021906835387</c:v>
                </c:pt>
                <c:pt idx="535">
                  <c:v>-37.303504968275995</c:v>
                </c:pt>
                <c:pt idx="536">
                  <c:v>-37.440321391234292</c:v>
                </c:pt>
                <c:pt idx="537">
                  <c:v>-37.715120793341782</c:v>
                </c:pt>
                <c:pt idx="538">
                  <c:v>-38.161727451297629</c:v>
                </c:pt>
                <c:pt idx="539">
                  <c:v>-38.243372117410921</c:v>
                </c:pt>
                <c:pt idx="540">
                  <c:v>-38.243372117410928</c:v>
                </c:pt>
                <c:pt idx="541">
                  <c:v>-39.386372117410929</c:v>
                </c:pt>
                <c:pt idx="542">
                  <c:v>-39.386372117410929</c:v>
                </c:pt>
                <c:pt idx="543">
                  <c:v>-39.386373117410926</c:v>
                </c:pt>
                <c:pt idx="544">
                  <c:v>-39.386922007826669</c:v>
                </c:pt>
                <c:pt idx="545">
                  <c:v>-39.388967587650299</c:v>
                </c:pt>
                <c:pt idx="546">
                  <c:v>-39.391384215438954</c:v>
                </c:pt>
                <c:pt idx="547">
                  <c:v>-39.395518297069358</c:v>
                </c:pt>
                <c:pt idx="548">
                  <c:v>-39.400836522926078</c:v>
                </c:pt>
                <c:pt idx="549">
                  <c:v>-39.411288199821442</c:v>
                </c:pt>
                <c:pt idx="550">
                  <c:v>-39.426472706806521</c:v>
                </c:pt>
                <c:pt idx="551">
                  <c:v>-39.454279055026582</c:v>
                </c:pt>
                <c:pt idx="552">
                  <c:v>-39.498520233353332</c:v>
                </c:pt>
                <c:pt idx="553">
                  <c:v>-39.581806133275457</c:v>
                </c:pt>
                <c:pt idx="554">
                  <c:v>-39.718622556233754</c:v>
                </c:pt>
                <c:pt idx="555">
                  <c:v>-39.993421958341244</c:v>
                </c:pt>
                <c:pt idx="556">
                  <c:v>-40.440028616297091</c:v>
                </c:pt>
                <c:pt idx="557">
                  <c:v>-40.521673282410383</c:v>
                </c:pt>
                <c:pt idx="558">
                  <c:v>-40.521673282410376</c:v>
                </c:pt>
                <c:pt idx="559">
                  <c:v>-41.664673282410376</c:v>
                </c:pt>
                <c:pt idx="560">
                  <c:v>-41.664673282410376</c:v>
                </c:pt>
                <c:pt idx="561">
                  <c:v>-41.664674282410374</c:v>
                </c:pt>
                <c:pt idx="562">
                  <c:v>-41.665223172826117</c:v>
                </c:pt>
                <c:pt idx="563">
                  <c:v>-41.667268752649747</c:v>
                </c:pt>
                <c:pt idx="564">
                  <c:v>-41.669685380438402</c:v>
                </c:pt>
                <c:pt idx="565">
                  <c:v>-41.673819462068806</c:v>
                </c:pt>
                <c:pt idx="566">
                  <c:v>-41.679137687925525</c:v>
                </c:pt>
                <c:pt idx="567">
                  <c:v>-41.68958936482089</c:v>
                </c:pt>
                <c:pt idx="568">
                  <c:v>-41.704773871805969</c:v>
                </c:pt>
                <c:pt idx="569">
                  <c:v>-41.73258022002603</c:v>
                </c:pt>
                <c:pt idx="570">
                  <c:v>-41.77682139835278</c:v>
                </c:pt>
                <c:pt idx="571">
                  <c:v>-41.860107298274905</c:v>
                </c:pt>
                <c:pt idx="572">
                  <c:v>-41.996923721233202</c:v>
                </c:pt>
                <c:pt idx="573">
                  <c:v>-42.271723123340692</c:v>
                </c:pt>
                <c:pt idx="574">
                  <c:v>-42.718329781296539</c:v>
                </c:pt>
                <c:pt idx="575">
                  <c:v>-42.799974447409831</c:v>
                </c:pt>
                <c:pt idx="576">
                  <c:v>-42.799974447409838</c:v>
                </c:pt>
                <c:pt idx="577">
                  <c:v>-43.942974447409838</c:v>
                </c:pt>
                <c:pt idx="578">
                  <c:v>-43.942974447409838</c:v>
                </c:pt>
                <c:pt idx="579">
                  <c:v>-43.942975447409836</c:v>
                </c:pt>
                <c:pt idx="580">
                  <c:v>-43.943524337825579</c:v>
                </c:pt>
                <c:pt idx="581">
                  <c:v>-43.945569917649209</c:v>
                </c:pt>
                <c:pt idx="582">
                  <c:v>-43.947986545437864</c:v>
                </c:pt>
                <c:pt idx="583">
                  <c:v>-43.952120627068268</c:v>
                </c:pt>
                <c:pt idx="584">
                  <c:v>-43.957438852924987</c:v>
                </c:pt>
                <c:pt idx="585">
                  <c:v>-43.967890529820352</c:v>
                </c:pt>
                <c:pt idx="586">
                  <c:v>-43.983075036805431</c:v>
                </c:pt>
                <c:pt idx="587">
                  <c:v>-44.010881385025492</c:v>
                </c:pt>
                <c:pt idx="588">
                  <c:v>-44.055122563352242</c:v>
                </c:pt>
                <c:pt idx="589">
                  <c:v>-44.138408463274367</c:v>
                </c:pt>
                <c:pt idx="590">
                  <c:v>-44.275224886232664</c:v>
                </c:pt>
                <c:pt idx="591">
                  <c:v>-44.550024288340154</c:v>
                </c:pt>
                <c:pt idx="592">
                  <c:v>-44.996630946296001</c:v>
                </c:pt>
                <c:pt idx="593">
                  <c:v>-45.078275612409293</c:v>
                </c:pt>
                <c:pt idx="594">
                  <c:v>-45.0782756124093</c:v>
                </c:pt>
                <c:pt idx="595">
                  <c:v>-46.2212756124093</c:v>
                </c:pt>
                <c:pt idx="596">
                  <c:v>-46.2212756124093</c:v>
                </c:pt>
                <c:pt idx="597">
                  <c:v>-46.221276612409298</c:v>
                </c:pt>
                <c:pt idx="598">
                  <c:v>-46.221825502825041</c:v>
                </c:pt>
                <c:pt idx="599">
                  <c:v>-46.223871082648671</c:v>
                </c:pt>
                <c:pt idx="600">
                  <c:v>-46.226287710437326</c:v>
                </c:pt>
                <c:pt idx="601">
                  <c:v>-46.23042179206773</c:v>
                </c:pt>
                <c:pt idx="602">
                  <c:v>-46.235740017924449</c:v>
                </c:pt>
                <c:pt idx="603">
                  <c:v>-46.246191694819814</c:v>
                </c:pt>
                <c:pt idx="604">
                  <c:v>-46.261376201804893</c:v>
                </c:pt>
                <c:pt idx="605">
                  <c:v>-46.289182550024954</c:v>
                </c:pt>
                <c:pt idx="606">
                  <c:v>-46.333423728351704</c:v>
                </c:pt>
                <c:pt idx="607">
                  <c:v>-46.416709628273829</c:v>
                </c:pt>
                <c:pt idx="608">
                  <c:v>-46.553526051232126</c:v>
                </c:pt>
                <c:pt idx="609">
                  <c:v>-46.828325453339616</c:v>
                </c:pt>
                <c:pt idx="610">
                  <c:v>-47.274932111295463</c:v>
                </c:pt>
                <c:pt idx="611">
                  <c:v>-47.356576777408755</c:v>
                </c:pt>
                <c:pt idx="612">
                  <c:v>-47.356576777408748</c:v>
                </c:pt>
                <c:pt idx="613">
                  <c:v>-48.499576777408748</c:v>
                </c:pt>
                <c:pt idx="614">
                  <c:v>-48.499576777408748</c:v>
                </c:pt>
                <c:pt idx="615">
                  <c:v>-48.499577777408746</c:v>
                </c:pt>
                <c:pt idx="616">
                  <c:v>-48.500126667824489</c:v>
                </c:pt>
                <c:pt idx="617">
                  <c:v>-48.502172247648119</c:v>
                </c:pt>
                <c:pt idx="618">
                  <c:v>-48.504588875436774</c:v>
                </c:pt>
                <c:pt idx="619">
                  <c:v>-48.508722957067178</c:v>
                </c:pt>
                <c:pt idx="620">
                  <c:v>-48.514041182923897</c:v>
                </c:pt>
                <c:pt idx="621">
                  <c:v>-48.524492859819262</c:v>
                </c:pt>
                <c:pt idx="622">
                  <c:v>-48.539677366804341</c:v>
                </c:pt>
                <c:pt idx="623">
                  <c:v>-48.567483715024402</c:v>
                </c:pt>
                <c:pt idx="624">
                  <c:v>-48.611724893351152</c:v>
                </c:pt>
                <c:pt idx="625">
                  <c:v>-48.695010793273276</c:v>
                </c:pt>
                <c:pt idx="626">
                  <c:v>-48.831827216231574</c:v>
                </c:pt>
                <c:pt idx="627">
                  <c:v>-49.106626618339064</c:v>
                </c:pt>
                <c:pt idx="628">
                  <c:v>-49.553233276294911</c:v>
                </c:pt>
                <c:pt idx="629">
                  <c:v>-49.634877942408203</c:v>
                </c:pt>
                <c:pt idx="630">
                  <c:v>-49.63487794240821</c:v>
                </c:pt>
                <c:pt idx="631">
                  <c:v>-50.77787794240821</c:v>
                </c:pt>
                <c:pt idx="632">
                  <c:v>-50.77787794240821</c:v>
                </c:pt>
                <c:pt idx="633">
                  <c:v>-50.777878942408208</c:v>
                </c:pt>
                <c:pt idx="634">
                  <c:v>-50.778427832823951</c:v>
                </c:pt>
                <c:pt idx="635">
                  <c:v>-50.780473412647581</c:v>
                </c:pt>
                <c:pt idx="636">
                  <c:v>-50.782890040436236</c:v>
                </c:pt>
                <c:pt idx="637">
                  <c:v>-50.78702412206664</c:v>
                </c:pt>
                <c:pt idx="638">
                  <c:v>-50.792342347923359</c:v>
                </c:pt>
                <c:pt idx="639">
                  <c:v>-50.802794024818724</c:v>
                </c:pt>
                <c:pt idx="640">
                  <c:v>-50.817978531803803</c:v>
                </c:pt>
                <c:pt idx="641">
                  <c:v>-50.845784880023864</c:v>
                </c:pt>
                <c:pt idx="642">
                  <c:v>-50.890026058350614</c:v>
                </c:pt>
                <c:pt idx="643">
                  <c:v>-50.973311958272738</c:v>
                </c:pt>
                <c:pt idx="644">
                  <c:v>-51.110128381231036</c:v>
                </c:pt>
                <c:pt idx="645">
                  <c:v>-51.384927783338526</c:v>
                </c:pt>
                <c:pt idx="646">
                  <c:v>-51.831534441294373</c:v>
                </c:pt>
                <c:pt idx="647">
                  <c:v>-51.913179107407665</c:v>
                </c:pt>
                <c:pt idx="648">
                  <c:v>-51.913179107407672</c:v>
                </c:pt>
                <c:pt idx="649">
                  <c:v>-53.056179107407672</c:v>
                </c:pt>
                <c:pt idx="650">
                  <c:v>-53.056179107407672</c:v>
                </c:pt>
                <c:pt idx="651">
                  <c:v>-53.05618010740767</c:v>
                </c:pt>
                <c:pt idx="652">
                  <c:v>-53.056728997823413</c:v>
                </c:pt>
                <c:pt idx="653">
                  <c:v>-53.058774577647043</c:v>
                </c:pt>
                <c:pt idx="654">
                  <c:v>-53.061191205435698</c:v>
                </c:pt>
                <c:pt idx="655">
                  <c:v>-53.065325287066102</c:v>
                </c:pt>
                <c:pt idx="656">
                  <c:v>-53.070643512922821</c:v>
                </c:pt>
                <c:pt idx="657">
                  <c:v>-53.081095189818186</c:v>
                </c:pt>
                <c:pt idx="658">
                  <c:v>-53.096279696803265</c:v>
                </c:pt>
                <c:pt idx="659">
                  <c:v>-53.124086045023326</c:v>
                </c:pt>
                <c:pt idx="660">
                  <c:v>-53.168327223350076</c:v>
                </c:pt>
                <c:pt idx="661">
                  <c:v>-53.2516131232722</c:v>
                </c:pt>
                <c:pt idx="662">
                  <c:v>-53.388429546230498</c:v>
                </c:pt>
                <c:pt idx="663">
                  <c:v>-53.663228948337988</c:v>
                </c:pt>
                <c:pt idx="664">
                  <c:v>-54.109835606293835</c:v>
                </c:pt>
                <c:pt idx="665">
                  <c:v>-54.191480272407127</c:v>
                </c:pt>
                <c:pt idx="666">
                  <c:v>-54.191480272407119</c:v>
                </c:pt>
                <c:pt idx="667">
                  <c:v>-55.33448027240712</c:v>
                </c:pt>
                <c:pt idx="668">
                  <c:v>-55.33448027240712</c:v>
                </c:pt>
                <c:pt idx="669">
                  <c:v>-55.334481272407118</c:v>
                </c:pt>
                <c:pt idx="670">
                  <c:v>-55.335030162822861</c:v>
                </c:pt>
                <c:pt idx="671">
                  <c:v>-55.337075742646491</c:v>
                </c:pt>
                <c:pt idx="672">
                  <c:v>-55.339492370435146</c:v>
                </c:pt>
                <c:pt idx="673">
                  <c:v>-55.34362645206555</c:v>
                </c:pt>
                <c:pt idx="674">
                  <c:v>-55.348944677922269</c:v>
                </c:pt>
                <c:pt idx="675">
                  <c:v>-55.359396354817633</c:v>
                </c:pt>
              </c:numCache>
            </c:numRef>
          </c:xVal>
          <c:yVal>
            <c:numRef>
              <c:f>V_SG_1_V_SL_1_1cP!$AB$56:$AB$731</c:f>
              <c:numCache>
                <c:formatCode>General</c:formatCode>
                <c:ptCount val="676"/>
                <c:pt idx="0">
                  <c:v>0.77145643900915783</c:v>
                </c:pt>
                <c:pt idx="1">
                  <c:v>0.77145643900915783</c:v>
                </c:pt>
                <c:pt idx="2">
                  <c:v>0.77068498257014872</c:v>
                </c:pt>
                <c:pt idx="3">
                  <c:v>0.77067300983892906</c:v>
                </c:pt>
                <c:pt idx="4">
                  <c:v>0.76448695437332481</c:v>
                </c:pt>
                <c:pt idx="5">
                  <c:v>0.7462179928210797</c:v>
                </c:pt>
                <c:pt idx="6">
                  <c:v>0.73027266839631366</c:v>
                </c:pt>
                <c:pt idx="7">
                  <c:v>0.7101552774493437</c:v>
                </c:pt>
                <c:pt idx="8">
                  <c:v>0.69122254011085482</c:v>
                </c:pt>
                <c:pt idx="9">
                  <c:v>0.66499411019811316</c:v>
                </c:pt>
                <c:pt idx="10">
                  <c:v>0.63909697400592513</c:v>
                </c:pt>
                <c:pt idx="11">
                  <c:v>0.60781973946339873</c:v>
                </c:pt>
                <c:pt idx="12">
                  <c:v>0.57612627611480016</c:v>
                </c:pt>
                <c:pt idx="13">
                  <c:v>0.53973940308666546</c:v>
                </c:pt>
                <c:pt idx="14">
                  <c:v>0.50459598065778399</c:v>
                </c:pt>
                <c:pt idx="15">
                  <c:v>0.4654409702187336</c:v>
                </c:pt>
                <c:pt idx="16">
                  <c:v>0.43134659976949657</c:v>
                </c:pt>
                <c:pt idx="17">
                  <c:v>0.42690955700104</c:v>
                </c:pt>
                <c:pt idx="18">
                  <c:v>0.77145643900915783</c:v>
                </c:pt>
                <c:pt idx="19">
                  <c:v>0.77145643900915783</c:v>
                </c:pt>
                <c:pt idx="20">
                  <c:v>0.77068498257014872</c:v>
                </c:pt>
                <c:pt idx="21">
                  <c:v>0.77067300983892906</c:v>
                </c:pt>
                <c:pt idx="22">
                  <c:v>0.76448695437332481</c:v>
                </c:pt>
                <c:pt idx="23">
                  <c:v>0.7462179928210797</c:v>
                </c:pt>
                <c:pt idx="24">
                  <c:v>0.73027266839631366</c:v>
                </c:pt>
                <c:pt idx="25">
                  <c:v>0.7101552774493437</c:v>
                </c:pt>
                <c:pt idx="26">
                  <c:v>0.69122254011085482</c:v>
                </c:pt>
                <c:pt idx="27">
                  <c:v>0.66499411019811316</c:v>
                </c:pt>
                <c:pt idx="28">
                  <c:v>0.63909697400592513</c:v>
                </c:pt>
                <c:pt idx="29">
                  <c:v>0.60781973946339873</c:v>
                </c:pt>
                <c:pt idx="30">
                  <c:v>0.57612627611480016</c:v>
                </c:pt>
                <c:pt idx="31">
                  <c:v>0.53973940308666546</c:v>
                </c:pt>
                <c:pt idx="32">
                  <c:v>0.50459598065778399</c:v>
                </c:pt>
                <c:pt idx="33">
                  <c:v>0.4654409702187336</c:v>
                </c:pt>
                <c:pt idx="34">
                  <c:v>0.43134659976949657</c:v>
                </c:pt>
                <c:pt idx="35">
                  <c:v>0.42690955700104</c:v>
                </c:pt>
                <c:pt idx="36">
                  <c:v>0.77145643900915783</c:v>
                </c:pt>
                <c:pt idx="37">
                  <c:v>0.77145643900915783</c:v>
                </c:pt>
                <c:pt idx="38">
                  <c:v>0.77068498257014872</c:v>
                </c:pt>
                <c:pt idx="39">
                  <c:v>0.77067300983892906</c:v>
                </c:pt>
                <c:pt idx="40">
                  <c:v>0.76448695437332481</c:v>
                </c:pt>
                <c:pt idx="41">
                  <c:v>0.7462179928210797</c:v>
                </c:pt>
                <c:pt idx="42">
                  <c:v>0.73027266839631366</c:v>
                </c:pt>
                <c:pt idx="43">
                  <c:v>0.7101552774493437</c:v>
                </c:pt>
                <c:pt idx="44">
                  <c:v>0.69122254011085482</c:v>
                </c:pt>
                <c:pt idx="45">
                  <c:v>0.66499411019811316</c:v>
                </c:pt>
                <c:pt idx="46">
                  <c:v>0.63909697400592513</c:v>
                </c:pt>
                <c:pt idx="47">
                  <c:v>0.60781973946339873</c:v>
                </c:pt>
                <c:pt idx="48">
                  <c:v>0.57612627611480016</c:v>
                </c:pt>
                <c:pt idx="49">
                  <c:v>0.53973940308666546</c:v>
                </c:pt>
                <c:pt idx="50">
                  <c:v>0.50459598065778399</c:v>
                </c:pt>
                <c:pt idx="51">
                  <c:v>0.4654409702187336</c:v>
                </c:pt>
                <c:pt idx="52">
                  <c:v>0.43134659976949657</c:v>
                </c:pt>
                <c:pt idx="53">
                  <c:v>0.42690955700104</c:v>
                </c:pt>
                <c:pt idx="54">
                  <c:v>0.77145643900915783</c:v>
                </c:pt>
                <c:pt idx="55">
                  <c:v>0.77145643900915783</c:v>
                </c:pt>
                <c:pt idx="56">
                  <c:v>0.77068498257014872</c:v>
                </c:pt>
                <c:pt idx="57">
                  <c:v>0.77067300983892906</c:v>
                </c:pt>
                <c:pt idx="58">
                  <c:v>0.76448695437332481</c:v>
                </c:pt>
                <c:pt idx="59">
                  <c:v>0.7462179928210797</c:v>
                </c:pt>
                <c:pt idx="60">
                  <c:v>0.73027266839631366</c:v>
                </c:pt>
                <c:pt idx="61">
                  <c:v>0.7101552774493437</c:v>
                </c:pt>
                <c:pt idx="62">
                  <c:v>0.69122254011085482</c:v>
                </c:pt>
                <c:pt idx="63">
                  <c:v>0.66499411019811316</c:v>
                </c:pt>
                <c:pt idx="64">
                  <c:v>0.63909697400592513</c:v>
                </c:pt>
                <c:pt idx="65">
                  <c:v>0.60781973946339873</c:v>
                </c:pt>
                <c:pt idx="66">
                  <c:v>0.57612627611480016</c:v>
                </c:pt>
                <c:pt idx="67">
                  <c:v>0.53973940308666546</c:v>
                </c:pt>
                <c:pt idx="68">
                  <c:v>0.50459598065778399</c:v>
                </c:pt>
                <c:pt idx="69">
                  <c:v>0.4654409702187336</c:v>
                </c:pt>
                <c:pt idx="70">
                  <c:v>0.43134659976949657</c:v>
                </c:pt>
                <c:pt idx="71">
                  <c:v>0.42690955700104</c:v>
                </c:pt>
                <c:pt idx="72">
                  <c:v>0.77145643900915783</c:v>
                </c:pt>
                <c:pt idx="73">
                  <c:v>0.77145643900915783</c:v>
                </c:pt>
                <c:pt idx="74">
                  <c:v>0.77068498257014872</c:v>
                </c:pt>
                <c:pt idx="75">
                  <c:v>0.77067300983892906</c:v>
                </c:pt>
                <c:pt idx="76">
                  <c:v>0.76448695437332481</c:v>
                </c:pt>
                <c:pt idx="77">
                  <c:v>0.7462179928210797</c:v>
                </c:pt>
                <c:pt idx="78">
                  <c:v>0.73027266839631366</c:v>
                </c:pt>
                <c:pt idx="79">
                  <c:v>0.7101552774493437</c:v>
                </c:pt>
                <c:pt idx="80">
                  <c:v>0.69122254011085482</c:v>
                </c:pt>
                <c:pt idx="81">
                  <c:v>0.66499411019811316</c:v>
                </c:pt>
                <c:pt idx="82">
                  <c:v>0.63909697400592513</c:v>
                </c:pt>
                <c:pt idx="83">
                  <c:v>0.60781973946339873</c:v>
                </c:pt>
                <c:pt idx="84">
                  <c:v>0.57612627611480016</c:v>
                </c:pt>
                <c:pt idx="85">
                  <c:v>0.53973940308666546</c:v>
                </c:pt>
                <c:pt idx="86">
                  <c:v>0.50459598065778399</c:v>
                </c:pt>
                <c:pt idx="87">
                  <c:v>0.4654409702187336</c:v>
                </c:pt>
                <c:pt idx="88">
                  <c:v>0.43134659976949657</c:v>
                </c:pt>
                <c:pt idx="89">
                  <c:v>0.42690955700104</c:v>
                </c:pt>
                <c:pt idx="90">
                  <c:v>0.77145643900915783</c:v>
                </c:pt>
                <c:pt idx="91">
                  <c:v>0.77145643900915783</c:v>
                </c:pt>
                <c:pt idx="92">
                  <c:v>0.77068498257014872</c:v>
                </c:pt>
                <c:pt idx="93">
                  <c:v>0.77067300983892906</c:v>
                </c:pt>
                <c:pt idx="94">
                  <c:v>0.76448695437332481</c:v>
                </c:pt>
                <c:pt idx="95">
                  <c:v>0.7462179928210797</c:v>
                </c:pt>
                <c:pt idx="96">
                  <c:v>0.73027266839631366</c:v>
                </c:pt>
                <c:pt idx="97">
                  <c:v>0.7101552774493437</c:v>
                </c:pt>
                <c:pt idx="98">
                  <c:v>0.69122254011085482</c:v>
                </c:pt>
                <c:pt idx="99">
                  <c:v>0.66499411019811316</c:v>
                </c:pt>
                <c:pt idx="100">
                  <c:v>0.63909697400592513</c:v>
                </c:pt>
                <c:pt idx="101">
                  <c:v>0.60781973946339873</c:v>
                </c:pt>
                <c:pt idx="102">
                  <c:v>0.57612627611480016</c:v>
                </c:pt>
                <c:pt idx="103">
                  <c:v>0.53973940308666546</c:v>
                </c:pt>
                <c:pt idx="104">
                  <c:v>0.50459598065778399</c:v>
                </c:pt>
                <c:pt idx="105">
                  <c:v>0.4654409702187336</c:v>
                </c:pt>
                <c:pt idx="106">
                  <c:v>0.43134659976949657</c:v>
                </c:pt>
                <c:pt idx="107">
                  <c:v>0.42690955700104</c:v>
                </c:pt>
                <c:pt idx="108">
                  <c:v>0.77145643900915783</c:v>
                </c:pt>
                <c:pt idx="109">
                  <c:v>0.77145643900915783</c:v>
                </c:pt>
                <c:pt idx="110">
                  <c:v>0.77068498257014872</c:v>
                </c:pt>
                <c:pt idx="111">
                  <c:v>0.77067300983892906</c:v>
                </c:pt>
                <c:pt idx="112">
                  <c:v>0.76448695437332481</c:v>
                </c:pt>
                <c:pt idx="113">
                  <c:v>0.7462179928210797</c:v>
                </c:pt>
                <c:pt idx="114">
                  <c:v>0.73027266839631366</c:v>
                </c:pt>
                <c:pt idx="115">
                  <c:v>0.7101552774493437</c:v>
                </c:pt>
                <c:pt idx="116">
                  <c:v>0.69122254011085482</c:v>
                </c:pt>
                <c:pt idx="117">
                  <c:v>0.66499411019811316</c:v>
                </c:pt>
                <c:pt idx="118">
                  <c:v>0.63909697400592513</c:v>
                </c:pt>
                <c:pt idx="119">
                  <c:v>0.60781973946339873</c:v>
                </c:pt>
                <c:pt idx="120">
                  <c:v>0.57612627611480016</c:v>
                </c:pt>
                <c:pt idx="121">
                  <c:v>0.53973940308666546</c:v>
                </c:pt>
                <c:pt idx="122">
                  <c:v>0.50459598065778399</c:v>
                </c:pt>
                <c:pt idx="123">
                  <c:v>0.4654409702187336</c:v>
                </c:pt>
                <c:pt idx="124">
                  <c:v>0.43134659976949657</c:v>
                </c:pt>
                <c:pt idx="125">
                  <c:v>0.42690955700104</c:v>
                </c:pt>
                <c:pt idx="126">
                  <c:v>0.77145643900915783</c:v>
                </c:pt>
                <c:pt idx="127">
                  <c:v>0.77145643900915783</c:v>
                </c:pt>
                <c:pt idx="128">
                  <c:v>0.77068498257014872</c:v>
                </c:pt>
                <c:pt idx="129">
                  <c:v>0.77067300983892906</c:v>
                </c:pt>
                <c:pt idx="130">
                  <c:v>0.76448695437332481</c:v>
                </c:pt>
                <c:pt idx="131">
                  <c:v>0.7462179928210797</c:v>
                </c:pt>
                <c:pt idx="132">
                  <c:v>0.73027266839631366</c:v>
                </c:pt>
                <c:pt idx="133">
                  <c:v>0.7101552774493437</c:v>
                </c:pt>
                <c:pt idx="134">
                  <c:v>0.69122254011085482</c:v>
                </c:pt>
                <c:pt idx="135">
                  <c:v>0.66499411019811316</c:v>
                </c:pt>
                <c:pt idx="136">
                  <c:v>0.63909697400592513</c:v>
                </c:pt>
                <c:pt idx="137">
                  <c:v>0.60781973946339873</c:v>
                </c:pt>
                <c:pt idx="138">
                  <c:v>0.57612627611480016</c:v>
                </c:pt>
                <c:pt idx="139">
                  <c:v>0.53973940308666546</c:v>
                </c:pt>
                <c:pt idx="140">
                  <c:v>0.50459598065778399</c:v>
                </c:pt>
                <c:pt idx="141">
                  <c:v>0.4654409702187336</c:v>
                </c:pt>
                <c:pt idx="142">
                  <c:v>0.43134659976949657</c:v>
                </c:pt>
                <c:pt idx="143">
                  <c:v>0.42690955700104</c:v>
                </c:pt>
                <c:pt idx="144">
                  <c:v>0.77145643900915783</c:v>
                </c:pt>
                <c:pt idx="145">
                  <c:v>0.77145643900915783</c:v>
                </c:pt>
                <c:pt idx="146">
                  <c:v>0.77068498257014872</c:v>
                </c:pt>
                <c:pt idx="147">
                  <c:v>0.77067300983892906</c:v>
                </c:pt>
                <c:pt idx="148">
                  <c:v>0.76448695437332481</c:v>
                </c:pt>
                <c:pt idx="149">
                  <c:v>0.7462179928210797</c:v>
                </c:pt>
                <c:pt idx="150">
                  <c:v>0.73027266839631366</c:v>
                </c:pt>
                <c:pt idx="151">
                  <c:v>0.7101552774493437</c:v>
                </c:pt>
                <c:pt idx="152">
                  <c:v>0.69122254011085482</c:v>
                </c:pt>
                <c:pt idx="153">
                  <c:v>0.66499411019811316</c:v>
                </c:pt>
                <c:pt idx="154">
                  <c:v>0.63909697400592513</c:v>
                </c:pt>
                <c:pt idx="155">
                  <c:v>0.60781973946339873</c:v>
                </c:pt>
                <c:pt idx="156">
                  <c:v>0.57612627611480016</c:v>
                </c:pt>
                <c:pt idx="157">
                  <c:v>0.53973940308666546</c:v>
                </c:pt>
                <c:pt idx="158">
                  <c:v>0.50459598065778399</c:v>
                </c:pt>
                <c:pt idx="159">
                  <c:v>0.4654409702187336</c:v>
                </c:pt>
                <c:pt idx="160">
                  <c:v>0.43134659976949657</c:v>
                </c:pt>
                <c:pt idx="161">
                  <c:v>0.42690955700104</c:v>
                </c:pt>
                <c:pt idx="162">
                  <c:v>0.77145643900915783</c:v>
                </c:pt>
                <c:pt idx="163">
                  <c:v>0.77145643900915783</c:v>
                </c:pt>
                <c:pt idx="164">
                  <c:v>0.77068498257014872</c:v>
                </c:pt>
                <c:pt idx="165">
                  <c:v>0.77067300983892906</c:v>
                </c:pt>
                <c:pt idx="166">
                  <c:v>0.76448695437332481</c:v>
                </c:pt>
                <c:pt idx="167">
                  <c:v>0.7462179928210797</c:v>
                </c:pt>
                <c:pt idx="168">
                  <c:v>0.73027266839631366</c:v>
                </c:pt>
                <c:pt idx="169">
                  <c:v>0.7101552774493437</c:v>
                </c:pt>
                <c:pt idx="170">
                  <c:v>0.69122254011085482</c:v>
                </c:pt>
                <c:pt idx="171">
                  <c:v>0.66499411019811316</c:v>
                </c:pt>
                <c:pt idx="172">
                  <c:v>0.63909697400592513</c:v>
                </c:pt>
                <c:pt idx="173">
                  <c:v>0.60781973946339873</c:v>
                </c:pt>
                <c:pt idx="174">
                  <c:v>0.57612627611480016</c:v>
                </c:pt>
                <c:pt idx="175">
                  <c:v>0.53973940308666546</c:v>
                </c:pt>
                <c:pt idx="176">
                  <c:v>0.50459598065778399</c:v>
                </c:pt>
                <c:pt idx="177">
                  <c:v>0.4654409702187336</c:v>
                </c:pt>
                <c:pt idx="178">
                  <c:v>0.43134659976949657</c:v>
                </c:pt>
                <c:pt idx="179">
                  <c:v>0.42690955700104</c:v>
                </c:pt>
                <c:pt idx="180">
                  <c:v>0.77145643900915783</c:v>
                </c:pt>
                <c:pt idx="181">
                  <c:v>0.77145643900915783</c:v>
                </c:pt>
                <c:pt idx="182">
                  <c:v>0.77068498257014872</c:v>
                </c:pt>
                <c:pt idx="183">
                  <c:v>0.77067300983892906</c:v>
                </c:pt>
                <c:pt idx="184">
                  <c:v>0.76448695437332481</c:v>
                </c:pt>
                <c:pt idx="185">
                  <c:v>0.7462179928210797</c:v>
                </c:pt>
                <c:pt idx="186">
                  <c:v>0.73027266839631366</c:v>
                </c:pt>
                <c:pt idx="187">
                  <c:v>0.7101552774493437</c:v>
                </c:pt>
                <c:pt idx="188">
                  <c:v>0.69122254011085482</c:v>
                </c:pt>
                <c:pt idx="189">
                  <c:v>0.66499411019811316</c:v>
                </c:pt>
                <c:pt idx="190">
                  <c:v>0.63909697400592513</c:v>
                </c:pt>
                <c:pt idx="191">
                  <c:v>0.60781973946339873</c:v>
                </c:pt>
                <c:pt idx="192">
                  <c:v>0.57612627611480016</c:v>
                </c:pt>
                <c:pt idx="193">
                  <c:v>0.53973940308666546</c:v>
                </c:pt>
                <c:pt idx="194">
                  <c:v>0.50459598065778399</c:v>
                </c:pt>
                <c:pt idx="195">
                  <c:v>0.4654409702187336</c:v>
                </c:pt>
                <c:pt idx="196">
                  <c:v>0.43134659976949657</c:v>
                </c:pt>
                <c:pt idx="197">
                  <c:v>0.42690955700104</c:v>
                </c:pt>
                <c:pt idx="198">
                  <c:v>0.77145643900915783</c:v>
                </c:pt>
                <c:pt idx="199">
                  <c:v>0.77145643900915783</c:v>
                </c:pt>
                <c:pt idx="200">
                  <c:v>0.77068498257014872</c:v>
                </c:pt>
                <c:pt idx="201">
                  <c:v>0.77067300983892906</c:v>
                </c:pt>
                <c:pt idx="202">
                  <c:v>0.76448695437332481</c:v>
                </c:pt>
                <c:pt idx="203">
                  <c:v>0.7462179928210797</c:v>
                </c:pt>
                <c:pt idx="204">
                  <c:v>0.73027266839631366</c:v>
                </c:pt>
                <c:pt idx="205">
                  <c:v>0.7101552774493437</c:v>
                </c:pt>
                <c:pt idx="206">
                  <c:v>0.69122254011085482</c:v>
                </c:pt>
                <c:pt idx="207">
                  <c:v>0.66499411019811316</c:v>
                </c:pt>
                <c:pt idx="208">
                  <c:v>0.63909697400592513</c:v>
                </c:pt>
                <c:pt idx="209">
                  <c:v>0.60781973946339873</c:v>
                </c:pt>
                <c:pt idx="210">
                  <c:v>0.57612627611480016</c:v>
                </c:pt>
                <c:pt idx="211">
                  <c:v>0.53973940308666546</c:v>
                </c:pt>
                <c:pt idx="212">
                  <c:v>0.50459598065778399</c:v>
                </c:pt>
                <c:pt idx="213">
                  <c:v>0.4654409702187336</c:v>
                </c:pt>
                <c:pt idx="214">
                  <c:v>0.43134659976949657</c:v>
                </c:pt>
                <c:pt idx="215">
                  <c:v>0.42690955700104</c:v>
                </c:pt>
                <c:pt idx="216">
                  <c:v>0.77145643900915783</c:v>
                </c:pt>
                <c:pt idx="217">
                  <c:v>0.77145643900915783</c:v>
                </c:pt>
                <c:pt idx="218">
                  <c:v>0.77068498257014872</c:v>
                </c:pt>
                <c:pt idx="219">
                  <c:v>0.77067300983892906</c:v>
                </c:pt>
                <c:pt idx="220">
                  <c:v>0.76448695437332481</c:v>
                </c:pt>
                <c:pt idx="221">
                  <c:v>0.7462179928210797</c:v>
                </c:pt>
                <c:pt idx="222">
                  <c:v>0.73027266839631366</c:v>
                </c:pt>
                <c:pt idx="223">
                  <c:v>0.7101552774493437</c:v>
                </c:pt>
                <c:pt idx="224">
                  <c:v>0.69122254011085482</c:v>
                </c:pt>
                <c:pt idx="225">
                  <c:v>0.66499411019811316</c:v>
                </c:pt>
                <c:pt idx="226">
                  <c:v>0.63909697400592513</c:v>
                </c:pt>
                <c:pt idx="227">
                  <c:v>0.60781973946339873</c:v>
                </c:pt>
                <c:pt idx="228">
                  <c:v>0.57612627611480016</c:v>
                </c:pt>
                <c:pt idx="229">
                  <c:v>0.53973940308666546</c:v>
                </c:pt>
                <c:pt idx="230">
                  <c:v>0.50459598065778399</c:v>
                </c:pt>
                <c:pt idx="231">
                  <c:v>0.4654409702187336</c:v>
                </c:pt>
                <c:pt idx="232">
                  <c:v>0.43134659976949657</c:v>
                </c:pt>
                <c:pt idx="233">
                  <c:v>0.42690955700104</c:v>
                </c:pt>
                <c:pt idx="234">
                  <c:v>0.77145643900915783</c:v>
                </c:pt>
                <c:pt idx="235">
                  <c:v>0.77145643900915783</c:v>
                </c:pt>
                <c:pt idx="236">
                  <c:v>0.77068498257014872</c:v>
                </c:pt>
                <c:pt idx="237">
                  <c:v>0.77067300983892906</c:v>
                </c:pt>
                <c:pt idx="238">
                  <c:v>0.76448695437332481</c:v>
                </c:pt>
                <c:pt idx="239">
                  <c:v>0.7462179928210797</c:v>
                </c:pt>
                <c:pt idx="240">
                  <c:v>0.73027266839631366</c:v>
                </c:pt>
                <c:pt idx="241">
                  <c:v>0.7101552774493437</c:v>
                </c:pt>
                <c:pt idx="242">
                  <c:v>0.69122254011085482</c:v>
                </c:pt>
                <c:pt idx="243">
                  <c:v>0.66499411019811316</c:v>
                </c:pt>
                <c:pt idx="244">
                  <c:v>0.63909697400592513</c:v>
                </c:pt>
                <c:pt idx="245">
                  <c:v>0.60781973946339873</c:v>
                </c:pt>
                <c:pt idx="246">
                  <c:v>0.57612627611480016</c:v>
                </c:pt>
                <c:pt idx="247">
                  <c:v>0.53973940308666546</c:v>
                </c:pt>
                <c:pt idx="248">
                  <c:v>0.50459598065778399</c:v>
                </c:pt>
                <c:pt idx="249">
                  <c:v>0.4654409702187336</c:v>
                </c:pt>
                <c:pt idx="250">
                  <c:v>0.43134659976949657</c:v>
                </c:pt>
                <c:pt idx="251">
                  <c:v>0.42690955700104</c:v>
                </c:pt>
                <c:pt idx="252">
                  <c:v>0.77145643900915783</c:v>
                </c:pt>
                <c:pt idx="253">
                  <c:v>0.77145643900915783</c:v>
                </c:pt>
                <c:pt idx="254">
                  <c:v>0.77068498257014872</c:v>
                </c:pt>
                <c:pt idx="255">
                  <c:v>0.77067300983892906</c:v>
                </c:pt>
                <c:pt idx="256">
                  <c:v>0.76448695437332481</c:v>
                </c:pt>
                <c:pt idx="257">
                  <c:v>0.7462179928210797</c:v>
                </c:pt>
                <c:pt idx="258">
                  <c:v>0.73027266839631366</c:v>
                </c:pt>
                <c:pt idx="259">
                  <c:v>0.7101552774493437</c:v>
                </c:pt>
                <c:pt idx="260">
                  <c:v>0.69122254011085482</c:v>
                </c:pt>
                <c:pt idx="261">
                  <c:v>0.66499411019811316</c:v>
                </c:pt>
                <c:pt idx="262">
                  <c:v>0.63909697400592513</c:v>
                </c:pt>
                <c:pt idx="263">
                  <c:v>0.60781973946339873</c:v>
                </c:pt>
                <c:pt idx="264">
                  <c:v>0.57612627611480016</c:v>
                </c:pt>
                <c:pt idx="265">
                  <c:v>0.53973940308666546</c:v>
                </c:pt>
                <c:pt idx="266">
                  <c:v>0.50459598065778399</c:v>
                </c:pt>
                <c:pt idx="267">
                  <c:v>0.4654409702187336</c:v>
                </c:pt>
                <c:pt idx="268">
                  <c:v>0.43134659976949657</c:v>
                </c:pt>
                <c:pt idx="269">
                  <c:v>0.42690955700104</c:v>
                </c:pt>
                <c:pt idx="270">
                  <c:v>0.77145643900915783</c:v>
                </c:pt>
                <c:pt idx="271">
                  <c:v>0.77145643900915783</c:v>
                </c:pt>
                <c:pt idx="272">
                  <c:v>0.77068498257014872</c:v>
                </c:pt>
                <c:pt idx="273">
                  <c:v>0.77067300983892906</c:v>
                </c:pt>
                <c:pt idx="274">
                  <c:v>0.76448695437332481</c:v>
                </c:pt>
                <c:pt idx="275">
                  <c:v>0.7462179928210797</c:v>
                </c:pt>
                <c:pt idx="276">
                  <c:v>0.73027266839631366</c:v>
                </c:pt>
                <c:pt idx="277">
                  <c:v>0.7101552774493437</c:v>
                </c:pt>
                <c:pt idx="278">
                  <c:v>0.69122254011085482</c:v>
                </c:pt>
                <c:pt idx="279">
                  <c:v>0.66499411019811316</c:v>
                </c:pt>
                <c:pt idx="280">
                  <c:v>0.63909697400592513</c:v>
                </c:pt>
                <c:pt idx="281">
                  <c:v>0.60781973946339873</c:v>
                </c:pt>
                <c:pt idx="282">
                  <c:v>0.57612627611480016</c:v>
                </c:pt>
                <c:pt idx="283">
                  <c:v>0.53973940308666546</c:v>
                </c:pt>
                <c:pt idx="284">
                  <c:v>0.50459598065778399</c:v>
                </c:pt>
                <c:pt idx="285">
                  <c:v>0.4654409702187336</c:v>
                </c:pt>
                <c:pt idx="286">
                  <c:v>0.43134659976949657</c:v>
                </c:pt>
                <c:pt idx="287">
                  <c:v>0.42690955700104</c:v>
                </c:pt>
                <c:pt idx="288">
                  <c:v>0.77145643900915783</c:v>
                </c:pt>
                <c:pt idx="289">
                  <c:v>0.77145643900915783</c:v>
                </c:pt>
                <c:pt idx="290">
                  <c:v>0.77068498257014872</c:v>
                </c:pt>
                <c:pt idx="291">
                  <c:v>0.77067300983892906</c:v>
                </c:pt>
                <c:pt idx="292">
                  <c:v>0.76448695437332481</c:v>
                </c:pt>
                <c:pt idx="293">
                  <c:v>0.7462179928210797</c:v>
                </c:pt>
                <c:pt idx="294">
                  <c:v>0.73027266839631366</c:v>
                </c:pt>
                <c:pt idx="295">
                  <c:v>0.7101552774493437</c:v>
                </c:pt>
                <c:pt idx="296">
                  <c:v>0.69122254011085482</c:v>
                </c:pt>
                <c:pt idx="297">
                  <c:v>0.66499411019811316</c:v>
                </c:pt>
                <c:pt idx="298">
                  <c:v>0.63909697400592513</c:v>
                </c:pt>
                <c:pt idx="299">
                  <c:v>0.60781973946339873</c:v>
                </c:pt>
                <c:pt idx="300">
                  <c:v>0.57612627611480016</c:v>
                </c:pt>
                <c:pt idx="301">
                  <c:v>0.53973940308666546</c:v>
                </c:pt>
                <c:pt idx="302">
                  <c:v>0.50459598065778399</c:v>
                </c:pt>
                <c:pt idx="303">
                  <c:v>0.4654409702187336</c:v>
                </c:pt>
                <c:pt idx="304">
                  <c:v>0.43134659976949657</c:v>
                </c:pt>
                <c:pt idx="305">
                  <c:v>0.42690955700104</c:v>
                </c:pt>
                <c:pt idx="306">
                  <c:v>0.77145643900915783</c:v>
                </c:pt>
                <c:pt idx="307">
                  <c:v>0.77145643900915783</c:v>
                </c:pt>
                <c:pt idx="308">
                  <c:v>0.77068498257014872</c:v>
                </c:pt>
                <c:pt idx="309">
                  <c:v>0.77067300983892906</c:v>
                </c:pt>
                <c:pt idx="310">
                  <c:v>0.76448695437332481</c:v>
                </c:pt>
                <c:pt idx="311">
                  <c:v>0.7462179928210797</c:v>
                </c:pt>
                <c:pt idx="312">
                  <c:v>0.73027266839631366</c:v>
                </c:pt>
                <c:pt idx="313">
                  <c:v>0.7101552774493437</c:v>
                </c:pt>
                <c:pt idx="314">
                  <c:v>0.69122254011085482</c:v>
                </c:pt>
                <c:pt idx="315">
                  <c:v>0.66499411019811316</c:v>
                </c:pt>
                <c:pt idx="316">
                  <c:v>0.63909697400592513</c:v>
                </c:pt>
                <c:pt idx="317">
                  <c:v>0.60781973946339873</c:v>
                </c:pt>
                <c:pt idx="318">
                  <c:v>0.57612627611480016</c:v>
                </c:pt>
                <c:pt idx="319">
                  <c:v>0.53973940308666546</c:v>
                </c:pt>
                <c:pt idx="320">
                  <c:v>0.50459598065778399</c:v>
                </c:pt>
                <c:pt idx="321">
                  <c:v>0.4654409702187336</c:v>
                </c:pt>
                <c:pt idx="322">
                  <c:v>0.43134659976949657</c:v>
                </c:pt>
                <c:pt idx="323">
                  <c:v>0.42690955700104</c:v>
                </c:pt>
                <c:pt idx="324">
                  <c:v>0.77145643900915783</c:v>
                </c:pt>
                <c:pt idx="325">
                  <c:v>0.77145643900915783</c:v>
                </c:pt>
                <c:pt idx="326">
                  <c:v>0.77068498257014872</c:v>
                </c:pt>
                <c:pt idx="327">
                  <c:v>0.77067300983892906</c:v>
                </c:pt>
                <c:pt idx="328">
                  <c:v>0.76448695437332481</c:v>
                </c:pt>
                <c:pt idx="329">
                  <c:v>0.7462179928210797</c:v>
                </c:pt>
                <c:pt idx="330">
                  <c:v>0.73027266839631366</c:v>
                </c:pt>
                <c:pt idx="331">
                  <c:v>0.7101552774493437</c:v>
                </c:pt>
                <c:pt idx="332">
                  <c:v>0.69122254011085482</c:v>
                </c:pt>
                <c:pt idx="333">
                  <c:v>0.66499411019811316</c:v>
                </c:pt>
                <c:pt idx="334">
                  <c:v>0.63909697400592513</c:v>
                </c:pt>
                <c:pt idx="335">
                  <c:v>0.60781973946339873</c:v>
                </c:pt>
                <c:pt idx="336">
                  <c:v>0.57612627611480016</c:v>
                </c:pt>
                <c:pt idx="337">
                  <c:v>0.53973940308666546</c:v>
                </c:pt>
                <c:pt idx="338">
                  <c:v>0.50459598065778399</c:v>
                </c:pt>
                <c:pt idx="339">
                  <c:v>0.4654409702187336</c:v>
                </c:pt>
                <c:pt idx="340">
                  <c:v>0.43134659976949657</c:v>
                </c:pt>
                <c:pt idx="341">
                  <c:v>0.42690955700104</c:v>
                </c:pt>
                <c:pt idx="342">
                  <c:v>0.77145643900915783</c:v>
                </c:pt>
                <c:pt idx="343">
                  <c:v>0.77145643900915783</c:v>
                </c:pt>
                <c:pt idx="344">
                  <c:v>0.77068498257014872</c:v>
                </c:pt>
                <c:pt idx="345">
                  <c:v>0.77067300983892906</c:v>
                </c:pt>
                <c:pt idx="346">
                  <c:v>0.76448695437332481</c:v>
                </c:pt>
                <c:pt idx="347">
                  <c:v>0.7462179928210797</c:v>
                </c:pt>
                <c:pt idx="348">
                  <c:v>0.73027266839631366</c:v>
                </c:pt>
                <c:pt idx="349">
                  <c:v>0.7101552774493437</c:v>
                </c:pt>
                <c:pt idx="350">
                  <c:v>0.69122254011085482</c:v>
                </c:pt>
                <c:pt idx="351">
                  <c:v>0.66499411019811316</c:v>
                </c:pt>
                <c:pt idx="352">
                  <c:v>0.63909697400592513</c:v>
                </c:pt>
                <c:pt idx="353">
                  <c:v>0.60781973946339873</c:v>
                </c:pt>
                <c:pt idx="354">
                  <c:v>0.57612627611480016</c:v>
                </c:pt>
                <c:pt idx="355">
                  <c:v>0.53973940308666546</c:v>
                </c:pt>
                <c:pt idx="356">
                  <c:v>0.50459598065778399</c:v>
                </c:pt>
                <c:pt idx="357">
                  <c:v>0.4654409702187336</c:v>
                </c:pt>
                <c:pt idx="358">
                  <c:v>0.43134659976949657</c:v>
                </c:pt>
                <c:pt idx="359">
                  <c:v>0.42690955700104</c:v>
                </c:pt>
                <c:pt idx="360">
                  <c:v>0.77145643900915783</c:v>
                </c:pt>
                <c:pt idx="361">
                  <c:v>0.77145643900915783</c:v>
                </c:pt>
                <c:pt idx="362">
                  <c:v>0.77068498257014872</c:v>
                </c:pt>
                <c:pt idx="363">
                  <c:v>0.77067300983892906</c:v>
                </c:pt>
                <c:pt idx="364">
                  <c:v>0.76448695437332481</c:v>
                </c:pt>
                <c:pt idx="365">
                  <c:v>0.7462179928210797</c:v>
                </c:pt>
                <c:pt idx="366">
                  <c:v>0.73027266839631366</c:v>
                </c:pt>
                <c:pt idx="367">
                  <c:v>0.7101552774493437</c:v>
                </c:pt>
                <c:pt idx="368">
                  <c:v>0.69122254011085482</c:v>
                </c:pt>
                <c:pt idx="369">
                  <c:v>0.66499411019811316</c:v>
                </c:pt>
                <c:pt idx="370">
                  <c:v>0.63909697400592513</c:v>
                </c:pt>
                <c:pt idx="371">
                  <c:v>0.60781973946339873</c:v>
                </c:pt>
                <c:pt idx="372">
                  <c:v>0.57612627611480016</c:v>
                </c:pt>
                <c:pt idx="373">
                  <c:v>0.53973940308666546</c:v>
                </c:pt>
                <c:pt idx="374">
                  <c:v>0.50459598065778399</c:v>
                </c:pt>
                <c:pt idx="375">
                  <c:v>0.4654409702187336</c:v>
                </c:pt>
                <c:pt idx="376">
                  <c:v>0.43134659976949657</c:v>
                </c:pt>
                <c:pt idx="377">
                  <c:v>0.42690955700104</c:v>
                </c:pt>
                <c:pt idx="378">
                  <c:v>0.77145643900915783</c:v>
                </c:pt>
                <c:pt idx="379">
                  <c:v>0.77145643900915783</c:v>
                </c:pt>
                <c:pt idx="380">
                  <c:v>0.77068498257014872</c:v>
                </c:pt>
                <c:pt idx="381">
                  <c:v>0.77067300983892906</c:v>
                </c:pt>
                <c:pt idx="382">
                  <c:v>0.76448695437332481</c:v>
                </c:pt>
                <c:pt idx="383">
                  <c:v>0.7462179928210797</c:v>
                </c:pt>
                <c:pt idx="384">
                  <c:v>0.73027266839631366</c:v>
                </c:pt>
                <c:pt idx="385">
                  <c:v>0.7101552774493437</c:v>
                </c:pt>
                <c:pt idx="386">
                  <c:v>0.69122254011085482</c:v>
                </c:pt>
                <c:pt idx="387">
                  <c:v>0.66499411019811316</c:v>
                </c:pt>
                <c:pt idx="388">
                  <c:v>0.63909697400592513</c:v>
                </c:pt>
                <c:pt idx="389">
                  <c:v>0.60781973946339873</c:v>
                </c:pt>
                <c:pt idx="390">
                  <c:v>0.57612627611480016</c:v>
                </c:pt>
                <c:pt idx="391">
                  <c:v>0.53973940308666546</c:v>
                </c:pt>
                <c:pt idx="392">
                  <c:v>0.50459598065778399</c:v>
                </c:pt>
                <c:pt idx="393">
                  <c:v>0.4654409702187336</c:v>
                </c:pt>
                <c:pt idx="394">
                  <c:v>0.43134659976949657</c:v>
                </c:pt>
                <c:pt idx="395">
                  <c:v>0.42690955700104</c:v>
                </c:pt>
                <c:pt idx="396">
                  <c:v>0.77145643900915783</c:v>
                </c:pt>
                <c:pt idx="397">
                  <c:v>0.77145643900915783</c:v>
                </c:pt>
                <c:pt idx="398">
                  <c:v>0.77068498257014872</c:v>
                </c:pt>
                <c:pt idx="399">
                  <c:v>0.77067300983892906</c:v>
                </c:pt>
                <c:pt idx="400">
                  <c:v>0.76448695437332481</c:v>
                </c:pt>
                <c:pt idx="401">
                  <c:v>0.7462179928210797</c:v>
                </c:pt>
                <c:pt idx="402">
                  <c:v>0.73027266839631366</c:v>
                </c:pt>
                <c:pt idx="403">
                  <c:v>0.7101552774493437</c:v>
                </c:pt>
                <c:pt idx="404">
                  <c:v>0.69122254011085482</c:v>
                </c:pt>
                <c:pt idx="405">
                  <c:v>0.66499411019811316</c:v>
                </c:pt>
                <c:pt idx="406">
                  <c:v>0.63909697400592513</c:v>
                </c:pt>
                <c:pt idx="407">
                  <c:v>0.60781973946339873</c:v>
                </c:pt>
                <c:pt idx="408">
                  <c:v>0.57612627611480016</c:v>
                </c:pt>
                <c:pt idx="409">
                  <c:v>0.53973940308666546</c:v>
                </c:pt>
                <c:pt idx="410">
                  <c:v>0.50459598065778399</c:v>
                </c:pt>
                <c:pt idx="411">
                  <c:v>0.4654409702187336</c:v>
                </c:pt>
                <c:pt idx="412">
                  <c:v>0.43134659976949657</c:v>
                </c:pt>
                <c:pt idx="413">
                  <c:v>0.42690955700104</c:v>
                </c:pt>
                <c:pt idx="414">
                  <c:v>0.77145643900915783</c:v>
                </c:pt>
                <c:pt idx="415">
                  <c:v>0.77145643900915783</c:v>
                </c:pt>
                <c:pt idx="416">
                  <c:v>0.77068498257014872</c:v>
                </c:pt>
                <c:pt idx="417">
                  <c:v>0.77067300983892906</c:v>
                </c:pt>
                <c:pt idx="418">
                  <c:v>0.76448695437332481</c:v>
                </c:pt>
                <c:pt idx="419">
                  <c:v>0.7462179928210797</c:v>
                </c:pt>
                <c:pt idx="420">
                  <c:v>0.73027266839631366</c:v>
                </c:pt>
                <c:pt idx="421">
                  <c:v>0.7101552774493437</c:v>
                </c:pt>
                <c:pt idx="422">
                  <c:v>0.69122254011085482</c:v>
                </c:pt>
                <c:pt idx="423">
                  <c:v>0.66499411019811316</c:v>
                </c:pt>
                <c:pt idx="424">
                  <c:v>0.63909697400592513</c:v>
                </c:pt>
                <c:pt idx="425">
                  <c:v>0.60781973946339873</c:v>
                </c:pt>
                <c:pt idx="426">
                  <c:v>0.57612627611480016</c:v>
                </c:pt>
                <c:pt idx="427">
                  <c:v>0.53973940308666546</c:v>
                </c:pt>
                <c:pt idx="428">
                  <c:v>0.50459598065778399</c:v>
                </c:pt>
                <c:pt idx="429">
                  <c:v>0.4654409702187336</c:v>
                </c:pt>
                <c:pt idx="430">
                  <c:v>0.43134659976949657</c:v>
                </c:pt>
                <c:pt idx="431">
                  <c:v>0.42690955700104</c:v>
                </c:pt>
                <c:pt idx="432">
                  <c:v>0.77145643900915783</c:v>
                </c:pt>
                <c:pt idx="433">
                  <c:v>0.77145643900915783</c:v>
                </c:pt>
                <c:pt idx="434">
                  <c:v>0.77068498257014872</c:v>
                </c:pt>
                <c:pt idx="435">
                  <c:v>0.77067300983892906</c:v>
                </c:pt>
                <c:pt idx="436">
                  <c:v>0.76448695437332481</c:v>
                </c:pt>
                <c:pt idx="437">
                  <c:v>0.7462179928210797</c:v>
                </c:pt>
                <c:pt idx="438">
                  <c:v>0.73027266839631366</c:v>
                </c:pt>
                <c:pt idx="439">
                  <c:v>0.7101552774493437</c:v>
                </c:pt>
                <c:pt idx="440">
                  <c:v>0.69122254011085482</c:v>
                </c:pt>
                <c:pt idx="441">
                  <c:v>0.66499411019811316</c:v>
                </c:pt>
                <c:pt idx="442">
                  <c:v>0.63909697400592513</c:v>
                </c:pt>
                <c:pt idx="443">
                  <c:v>0.60781973946339873</c:v>
                </c:pt>
                <c:pt idx="444">
                  <c:v>0.57612627611480016</c:v>
                </c:pt>
                <c:pt idx="445">
                  <c:v>0.53973940308666546</c:v>
                </c:pt>
                <c:pt idx="446">
                  <c:v>0.50459598065778399</c:v>
                </c:pt>
                <c:pt idx="447">
                  <c:v>0.4654409702187336</c:v>
                </c:pt>
                <c:pt idx="448">
                  <c:v>0.43134659976949657</c:v>
                </c:pt>
                <c:pt idx="449">
                  <c:v>0.42690955700104</c:v>
                </c:pt>
                <c:pt idx="450">
                  <c:v>0.77145643900915783</c:v>
                </c:pt>
                <c:pt idx="451">
                  <c:v>0.77145643900915783</c:v>
                </c:pt>
                <c:pt idx="452">
                  <c:v>0.77068498257014872</c:v>
                </c:pt>
                <c:pt idx="453">
                  <c:v>0.77067300983892906</c:v>
                </c:pt>
                <c:pt idx="454">
                  <c:v>0.76448695437332481</c:v>
                </c:pt>
                <c:pt idx="455">
                  <c:v>0.7462179928210797</c:v>
                </c:pt>
                <c:pt idx="456">
                  <c:v>0.73027266839631366</c:v>
                </c:pt>
                <c:pt idx="457">
                  <c:v>0.7101552774493437</c:v>
                </c:pt>
                <c:pt idx="458">
                  <c:v>0.69122254011085482</c:v>
                </c:pt>
                <c:pt idx="459">
                  <c:v>0.66499411019811316</c:v>
                </c:pt>
                <c:pt idx="460">
                  <c:v>0.63909697400592513</c:v>
                </c:pt>
                <c:pt idx="461">
                  <c:v>0.60781973946339873</c:v>
                </c:pt>
                <c:pt idx="462">
                  <c:v>0.57612627611480016</c:v>
                </c:pt>
                <c:pt idx="463">
                  <c:v>0.53973940308666546</c:v>
                </c:pt>
                <c:pt idx="464">
                  <c:v>0.50459598065778399</c:v>
                </c:pt>
                <c:pt idx="465">
                  <c:v>0.4654409702187336</c:v>
                </c:pt>
                <c:pt idx="466">
                  <c:v>0.43134659976949657</c:v>
                </c:pt>
                <c:pt idx="467">
                  <c:v>0.42690955700104</c:v>
                </c:pt>
                <c:pt idx="468">
                  <c:v>0.77145643900915783</c:v>
                </c:pt>
                <c:pt idx="469">
                  <c:v>0.77145643900915783</c:v>
                </c:pt>
                <c:pt idx="470">
                  <c:v>0.77068498257014872</c:v>
                </c:pt>
                <c:pt idx="471">
                  <c:v>0.77067300983892906</c:v>
                </c:pt>
                <c:pt idx="472">
                  <c:v>0.76448695437332481</c:v>
                </c:pt>
                <c:pt idx="473">
                  <c:v>0.7462179928210797</c:v>
                </c:pt>
                <c:pt idx="474">
                  <c:v>0.73027266839631366</c:v>
                </c:pt>
                <c:pt idx="475">
                  <c:v>0.7101552774493437</c:v>
                </c:pt>
                <c:pt idx="476">
                  <c:v>0.69122254011085482</c:v>
                </c:pt>
                <c:pt idx="477">
                  <c:v>0.66499411019811316</c:v>
                </c:pt>
                <c:pt idx="478">
                  <c:v>0.63909697400592513</c:v>
                </c:pt>
                <c:pt idx="479">
                  <c:v>0.60781973946339873</c:v>
                </c:pt>
                <c:pt idx="480">
                  <c:v>0.57612627611480016</c:v>
                </c:pt>
                <c:pt idx="481">
                  <c:v>0.53973940308666546</c:v>
                </c:pt>
                <c:pt idx="482">
                  <c:v>0.50459598065778399</c:v>
                </c:pt>
                <c:pt idx="483">
                  <c:v>0.4654409702187336</c:v>
                </c:pt>
                <c:pt idx="484">
                  <c:v>0.43134659976949657</c:v>
                </c:pt>
                <c:pt idx="485">
                  <c:v>0.42690955700104</c:v>
                </c:pt>
                <c:pt idx="486">
                  <c:v>0.77145643900915783</c:v>
                </c:pt>
                <c:pt idx="487">
                  <c:v>0.77145643900915783</c:v>
                </c:pt>
                <c:pt idx="488">
                  <c:v>0.77068498257014872</c:v>
                </c:pt>
                <c:pt idx="489">
                  <c:v>0.77067300983892906</c:v>
                </c:pt>
                <c:pt idx="490">
                  <c:v>0.76448695437332481</c:v>
                </c:pt>
                <c:pt idx="491">
                  <c:v>0.7462179928210797</c:v>
                </c:pt>
                <c:pt idx="492">
                  <c:v>0.73027266839631366</c:v>
                </c:pt>
                <c:pt idx="493">
                  <c:v>0.7101552774493437</c:v>
                </c:pt>
                <c:pt idx="494">
                  <c:v>0.69122254011085482</c:v>
                </c:pt>
                <c:pt idx="495">
                  <c:v>0.66499411019811316</c:v>
                </c:pt>
                <c:pt idx="496">
                  <c:v>0.63909697400592513</c:v>
                </c:pt>
                <c:pt idx="497">
                  <c:v>0.60781973946339873</c:v>
                </c:pt>
                <c:pt idx="498">
                  <c:v>0.57612627611480016</c:v>
                </c:pt>
                <c:pt idx="499">
                  <c:v>0.53973940308666546</c:v>
                </c:pt>
                <c:pt idx="500">
                  <c:v>0.50459598065778399</c:v>
                </c:pt>
                <c:pt idx="501">
                  <c:v>0.4654409702187336</c:v>
                </c:pt>
                <c:pt idx="502">
                  <c:v>0.43134659976949657</c:v>
                </c:pt>
                <c:pt idx="503">
                  <c:v>0.42690955700104</c:v>
                </c:pt>
                <c:pt idx="504">
                  <c:v>0.77145643900915783</c:v>
                </c:pt>
                <c:pt idx="505">
                  <c:v>0.77145643900915783</c:v>
                </c:pt>
                <c:pt idx="506">
                  <c:v>0.77068498257014872</c:v>
                </c:pt>
                <c:pt idx="507">
                  <c:v>0.77067300983892906</c:v>
                </c:pt>
                <c:pt idx="508">
                  <c:v>0.76448695437332481</c:v>
                </c:pt>
                <c:pt idx="509">
                  <c:v>0.7462179928210797</c:v>
                </c:pt>
                <c:pt idx="510">
                  <c:v>0.73027266839631366</c:v>
                </c:pt>
                <c:pt idx="511">
                  <c:v>0.7101552774493437</c:v>
                </c:pt>
                <c:pt idx="512">
                  <c:v>0.69122254011085482</c:v>
                </c:pt>
                <c:pt idx="513">
                  <c:v>0.66499411019811316</c:v>
                </c:pt>
                <c:pt idx="514">
                  <c:v>0.63909697400592513</c:v>
                </c:pt>
                <c:pt idx="515">
                  <c:v>0.60781973946339873</c:v>
                </c:pt>
                <c:pt idx="516">
                  <c:v>0.57612627611480016</c:v>
                </c:pt>
                <c:pt idx="517">
                  <c:v>0.53973940308666546</c:v>
                </c:pt>
                <c:pt idx="518">
                  <c:v>0.50459598065778399</c:v>
                </c:pt>
                <c:pt idx="519">
                  <c:v>0.4654409702187336</c:v>
                </c:pt>
                <c:pt idx="520">
                  <c:v>0.43134659976949657</c:v>
                </c:pt>
                <c:pt idx="521">
                  <c:v>0.42690955700104</c:v>
                </c:pt>
                <c:pt idx="522">
                  <c:v>0.77145643900915783</c:v>
                </c:pt>
                <c:pt idx="523">
                  <c:v>0.77145643900915783</c:v>
                </c:pt>
                <c:pt idx="524">
                  <c:v>0.77068498257014872</c:v>
                </c:pt>
                <c:pt idx="525">
                  <c:v>0.77067300983892906</c:v>
                </c:pt>
                <c:pt idx="526">
                  <c:v>0.76448695437332481</c:v>
                </c:pt>
                <c:pt idx="527">
                  <c:v>0.7462179928210797</c:v>
                </c:pt>
                <c:pt idx="528">
                  <c:v>0.73027266839631366</c:v>
                </c:pt>
                <c:pt idx="529">
                  <c:v>0.7101552774493437</c:v>
                </c:pt>
                <c:pt idx="530">
                  <c:v>0.69122254011085482</c:v>
                </c:pt>
                <c:pt idx="531">
                  <c:v>0.66499411019811316</c:v>
                </c:pt>
                <c:pt idx="532">
                  <c:v>0.63909697400592513</c:v>
                </c:pt>
                <c:pt idx="533">
                  <c:v>0.60781973946339873</c:v>
                </c:pt>
                <c:pt idx="534">
                  <c:v>0.57612627611480016</c:v>
                </c:pt>
                <c:pt idx="535">
                  <c:v>0.53973940308666546</c:v>
                </c:pt>
                <c:pt idx="536">
                  <c:v>0.50459598065778399</c:v>
                </c:pt>
                <c:pt idx="537">
                  <c:v>0.4654409702187336</c:v>
                </c:pt>
                <c:pt idx="538">
                  <c:v>0.43134659976949657</c:v>
                </c:pt>
                <c:pt idx="539">
                  <c:v>0.42690955700104</c:v>
                </c:pt>
                <c:pt idx="540">
                  <c:v>0.77145643900915783</c:v>
                </c:pt>
                <c:pt idx="541">
                  <c:v>0.77145643900915783</c:v>
                </c:pt>
                <c:pt idx="542">
                  <c:v>0.77068498257014872</c:v>
                </c:pt>
                <c:pt idx="543">
                  <c:v>0.77067300983892906</c:v>
                </c:pt>
                <c:pt idx="544">
                  <c:v>0.76448695437332481</c:v>
                </c:pt>
                <c:pt idx="545">
                  <c:v>0.7462179928210797</c:v>
                </c:pt>
                <c:pt idx="546">
                  <c:v>0.73027266839631366</c:v>
                </c:pt>
                <c:pt idx="547">
                  <c:v>0.7101552774493437</c:v>
                </c:pt>
                <c:pt idx="548">
                  <c:v>0.69122254011085482</c:v>
                </c:pt>
                <c:pt idx="549">
                  <c:v>0.66499411019811316</c:v>
                </c:pt>
                <c:pt idx="550">
                  <c:v>0.63909697400592513</c:v>
                </c:pt>
                <c:pt idx="551">
                  <c:v>0.60781973946339873</c:v>
                </c:pt>
                <c:pt idx="552">
                  <c:v>0.57612627611480016</c:v>
                </c:pt>
                <c:pt idx="553">
                  <c:v>0.53973940308666546</c:v>
                </c:pt>
                <c:pt idx="554">
                  <c:v>0.50459598065778399</c:v>
                </c:pt>
                <c:pt idx="555">
                  <c:v>0.4654409702187336</c:v>
                </c:pt>
                <c:pt idx="556">
                  <c:v>0.43134659976949657</c:v>
                </c:pt>
                <c:pt idx="557">
                  <c:v>0.42690955700104</c:v>
                </c:pt>
                <c:pt idx="558">
                  <c:v>0.77145643900915783</c:v>
                </c:pt>
                <c:pt idx="559">
                  <c:v>0.77145643900915783</c:v>
                </c:pt>
                <c:pt idx="560">
                  <c:v>0.77068498257014872</c:v>
                </c:pt>
                <c:pt idx="561">
                  <c:v>0.77067300983892906</c:v>
                </c:pt>
                <c:pt idx="562">
                  <c:v>0.76448695437332481</c:v>
                </c:pt>
                <c:pt idx="563">
                  <c:v>0.7462179928210797</c:v>
                </c:pt>
                <c:pt idx="564">
                  <c:v>0.73027266839631366</c:v>
                </c:pt>
                <c:pt idx="565">
                  <c:v>0.7101552774493437</c:v>
                </c:pt>
                <c:pt idx="566">
                  <c:v>0.69122254011085482</c:v>
                </c:pt>
                <c:pt idx="567">
                  <c:v>0.66499411019811316</c:v>
                </c:pt>
                <c:pt idx="568">
                  <c:v>0.63909697400592513</c:v>
                </c:pt>
                <c:pt idx="569">
                  <c:v>0.60781973946339873</c:v>
                </c:pt>
                <c:pt idx="570">
                  <c:v>0.57612627611480016</c:v>
                </c:pt>
                <c:pt idx="571">
                  <c:v>0.53973940308666546</c:v>
                </c:pt>
                <c:pt idx="572">
                  <c:v>0.50459598065778399</c:v>
                </c:pt>
                <c:pt idx="573">
                  <c:v>0.4654409702187336</c:v>
                </c:pt>
                <c:pt idx="574">
                  <c:v>0.43134659976949657</c:v>
                </c:pt>
                <c:pt idx="575">
                  <c:v>0.42690955700104</c:v>
                </c:pt>
                <c:pt idx="576">
                  <c:v>0.77145643900915783</c:v>
                </c:pt>
                <c:pt idx="577">
                  <c:v>0.77145643900915783</c:v>
                </c:pt>
                <c:pt idx="578">
                  <c:v>0.77068498257014872</c:v>
                </c:pt>
                <c:pt idx="579">
                  <c:v>0.77067300983892906</c:v>
                </c:pt>
                <c:pt idx="580">
                  <c:v>0.76448695437332481</c:v>
                </c:pt>
                <c:pt idx="581">
                  <c:v>0.7462179928210797</c:v>
                </c:pt>
                <c:pt idx="582">
                  <c:v>0.73027266839631366</c:v>
                </c:pt>
                <c:pt idx="583">
                  <c:v>0.7101552774493437</c:v>
                </c:pt>
                <c:pt idx="584">
                  <c:v>0.69122254011085482</c:v>
                </c:pt>
                <c:pt idx="585">
                  <c:v>0.66499411019811316</c:v>
                </c:pt>
                <c:pt idx="586">
                  <c:v>0.63909697400592513</c:v>
                </c:pt>
                <c:pt idx="587">
                  <c:v>0.60781973946339873</c:v>
                </c:pt>
                <c:pt idx="588">
                  <c:v>0.57612627611480016</c:v>
                </c:pt>
                <c:pt idx="589">
                  <c:v>0.53973940308666546</c:v>
                </c:pt>
                <c:pt idx="590">
                  <c:v>0.50459598065778399</c:v>
                </c:pt>
                <c:pt idx="591">
                  <c:v>0.4654409702187336</c:v>
                </c:pt>
                <c:pt idx="592">
                  <c:v>0.43134659976949657</c:v>
                </c:pt>
                <c:pt idx="593">
                  <c:v>0.42690955700104</c:v>
                </c:pt>
                <c:pt idx="594">
                  <c:v>0.77145643900915783</c:v>
                </c:pt>
                <c:pt idx="595">
                  <c:v>0.77145643900915783</c:v>
                </c:pt>
                <c:pt idx="596">
                  <c:v>0.77068498257014872</c:v>
                </c:pt>
                <c:pt idx="597">
                  <c:v>0.77067300983892906</c:v>
                </c:pt>
                <c:pt idx="598">
                  <c:v>0.76448695437332481</c:v>
                </c:pt>
                <c:pt idx="599">
                  <c:v>0.7462179928210797</c:v>
                </c:pt>
                <c:pt idx="600">
                  <c:v>0.73027266839631366</c:v>
                </c:pt>
                <c:pt idx="601">
                  <c:v>0.7101552774493437</c:v>
                </c:pt>
                <c:pt idx="602">
                  <c:v>0.69122254011085482</c:v>
                </c:pt>
                <c:pt idx="603">
                  <c:v>0.66499411019811316</c:v>
                </c:pt>
                <c:pt idx="604">
                  <c:v>0.63909697400592513</c:v>
                </c:pt>
                <c:pt idx="605">
                  <c:v>0.60781973946339873</c:v>
                </c:pt>
                <c:pt idx="606">
                  <c:v>0.57612627611480016</c:v>
                </c:pt>
                <c:pt idx="607">
                  <c:v>0.53973940308666546</c:v>
                </c:pt>
                <c:pt idx="608">
                  <c:v>0.50459598065778399</c:v>
                </c:pt>
                <c:pt idx="609">
                  <c:v>0.4654409702187336</c:v>
                </c:pt>
                <c:pt idx="610">
                  <c:v>0.43134659976949657</c:v>
                </c:pt>
                <c:pt idx="611">
                  <c:v>0.42690955700104</c:v>
                </c:pt>
                <c:pt idx="612">
                  <c:v>0.77145643900915783</c:v>
                </c:pt>
                <c:pt idx="613">
                  <c:v>0.77145643900915783</c:v>
                </c:pt>
                <c:pt idx="614">
                  <c:v>0.77068498257014872</c:v>
                </c:pt>
                <c:pt idx="615">
                  <c:v>0.77067300983892906</c:v>
                </c:pt>
                <c:pt idx="616">
                  <c:v>0.76448695437332481</c:v>
                </c:pt>
                <c:pt idx="617">
                  <c:v>0.7462179928210797</c:v>
                </c:pt>
                <c:pt idx="618">
                  <c:v>0.73027266839631366</c:v>
                </c:pt>
                <c:pt idx="619">
                  <c:v>0.7101552774493437</c:v>
                </c:pt>
                <c:pt idx="620">
                  <c:v>0.69122254011085482</c:v>
                </c:pt>
                <c:pt idx="621">
                  <c:v>0.66499411019811316</c:v>
                </c:pt>
                <c:pt idx="622">
                  <c:v>0.63909697400592513</c:v>
                </c:pt>
                <c:pt idx="623">
                  <c:v>0.60781973946339873</c:v>
                </c:pt>
                <c:pt idx="624">
                  <c:v>0.57612627611480016</c:v>
                </c:pt>
                <c:pt idx="625">
                  <c:v>0.53973940308666546</c:v>
                </c:pt>
                <c:pt idx="626">
                  <c:v>0.50459598065778399</c:v>
                </c:pt>
                <c:pt idx="627">
                  <c:v>0.4654409702187336</c:v>
                </c:pt>
                <c:pt idx="628">
                  <c:v>0.43134659976949657</c:v>
                </c:pt>
                <c:pt idx="629">
                  <c:v>0.42690955700104</c:v>
                </c:pt>
                <c:pt idx="630">
                  <c:v>0.77145643900915783</c:v>
                </c:pt>
                <c:pt idx="631">
                  <c:v>0.77145643900915783</c:v>
                </c:pt>
                <c:pt idx="632">
                  <c:v>0.77068498257014872</c:v>
                </c:pt>
                <c:pt idx="633">
                  <c:v>0.77067300983892906</c:v>
                </c:pt>
                <c:pt idx="634">
                  <c:v>0.76448695437332481</c:v>
                </c:pt>
                <c:pt idx="635">
                  <c:v>0.7462179928210797</c:v>
                </c:pt>
                <c:pt idx="636">
                  <c:v>0.73027266839631366</c:v>
                </c:pt>
                <c:pt idx="637">
                  <c:v>0.7101552774493437</c:v>
                </c:pt>
                <c:pt idx="638">
                  <c:v>0.69122254011085482</c:v>
                </c:pt>
                <c:pt idx="639">
                  <c:v>0.66499411019811316</c:v>
                </c:pt>
                <c:pt idx="640">
                  <c:v>0.63909697400592513</c:v>
                </c:pt>
                <c:pt idx="641">
                  <c:v>0.60781973946339873</c:v>
                </c:pt>
                <c:pt idx="642">
                  <c:v>0.57612627611480016</c:v>
                </c:pt>
                <c:pt idx="643">
                  <c:v>0.53973940308666546</c:v>
                </c:pt>
                <c:pt idx="644">
                  <c:v>0.50459598065778399</c:v>
                </c:pt>
                <c:pt idx="645">
                  <c:v>0.4654409702187336</c:v>
                </c:pt>
                <c:pt idx="646">
                  <c:v>0.43134659976949657</c:v>
                </c:pt>
                <c:pt idx="647">
                  <c:v>0.42690955700104</c:v>
                </c:pt>
                <c:pt idx="648">
                  <c:v>0.77145643900915783</c:v>
                </c:pt>
                <c:pt idx="649">
                  <c:v>0.77145643900915783</c:v>
                </c:pt>
                <c:pt idx="650">
                  <c:v>0.77068498257014872</c:v>
                </c:pt>
                <c:pt idx="651">
                  <c:v>0.77067300983892906</c:v>
                </c:pt>
                <c:pt idx="652">
                  <c:v>0.76448695437332481</c:v>
                </c:pt>
                <c:pt idx="653">
                  <c:v>0.7462179928210797</c:v>
                </c:pt>
                <c:pt idx="654">
                  <c:v>0.73027266839631366</c:v>
                </c:pt>
                <c:pt idx="655">
                  <c:v>0.7101552774493437</c:v>
                </c:pt>
                <c:pt idx="656">
                  <c:v>0.69122254011085482</c:v>
                </c:pt>
                <c:pt idx="657">
                  <c:v>0.66499411019811316</c:v>
                </c:pt>
                <c:pt idx="658">
                  <c:v>0.63909697400592513</c:v>
                </c:pt>
                <c:pt idx="659">
                  <c:v>0.60781973946339873</c:v>
                </c:pt>
                <c:pt idx="660">
                  <c:v>0.57612627611480016</c:v>
                </c:pt>
                <c:pt idx="661">
                  <c:v>0.53973940308666546</c:v>
                </c:pt>
                <c:pt idx="662">
                  <c:v>0.50459598065778399</c:v>
                </c:pt>
                <c:pt idx="663">
                  <c:v>0.4654409702187336</c:v>
                </c:pt>
                <c:pt idx="664">
                  <c:v>0.43134659976949657</c:v>
                </c:pt>
                <c:pt idx="665">
                  <c:v>0.42690955700104</c:v>
                </c:pt>
                <c:pt idx="666">
                  <c:v>0.77145643900915783</c:v>
                </c:pt>
                <c:pt idx="667">
                  <c:v>0.77145643900915783</c:v>
                </c:pt>
                <c:pt idx="668">
                  <c:v>0.77068498257014872</c:v>
                </c:pt>
                <c:pt idx="669">
                  <c:v>0.77067300983892906</c:v>
                </c:pt>
                <c:pt idx="670">
                  <c:v>0.76448695437332481</c:v>
                </c:pt>
                <c:pt idx="671">
                  <c:v>0.7462179928210797</c:v>
                </c:pt>
                <c:pt idx="672">
                  <c:v>0.73027266839631366</c:v>
                </c:pt>
                <c:pt idx="673">
                  <c:v>0.7101552774493437</c:v>
                </c:pt>
                <c:pt idx="674">
                  <c:v>0.69122254011085482</c:v>
                </c:pt>
                <c:pt idx="675">
                  <c:v>0.66499411019811316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E-4286-9505-0E913F277E04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V_SG_1_V_SL_1!$AA$56:$AA$731</c:f>
              <c:numCache>
                <c:formatCode>General</c:formatCode>
                <c:ptCount val="676"/>
                <c:pt idx="0">
                  <c:v>30.105662832572801</c:v>
                </c:pt>
                <c:pt idx="1">
                  <c:v>28.9626628325728</c:v>
                </c:pt>
                <c:pt idx="2">
                  <c:v>28.9626628325728</c:v>
                </c:pt>
                <c:pt idx="3">
                  <c:v>28.962661832572802</c:v>
                </c:pt>
                <c:pt idx="4">
                  <c:v>28.962660832572801</c:v>
                </c:pt>
                <c:pt idx="5">
                  <c:v>28.9626598325728</c:v>
                </c:pt>
                <c:pt idx="6">
                  <c:v>28.962658832572799</c:v>
                </c:pt>
                <c:pt idx="7">
                  <c:v>28.962657832572802</c:v>
                </c:pt>
                <c:pt idx="8">
                  <c:v>28.962656832572801</c:v>
                </c:pt>
                <c:pt idx="9">
                  <c:v>28.9626558325728</c:v>
                </c:pt>
                <c:pt idx="10">
                  <c:v>28.962654682440192</c:v>
                </c:pt>
                <c:pt idx="11">
                  <c:v>28.96265330764831</c:v>
                </c:pt>
                <c:pt idx="12">
                  <c:v>28.962651665268741</c:v>
                </c:pt>
                <c:pt idx="13">
                  <c:v>28.96264969554889</c:v>
                </c:pt>
                <c:pt idx="14">
                  <c:v>28.962647324809549</c:v>
                </c:pt>
                <c:pt idx="15">
                  <c:v>28.962644460603968</c:v>
                </c:pt>
                <c:pt idx="16">
                  <c:v>28.962640986553623</c:v>
                </c:pt>
                <c:pt idx="17">
                  <c:v>28.962636755404755</c:v>
                </c:pt>
                <c:pt idx="18">
                  <c:v>28.962631579875648</c:v>
                </c:pt>
                <c:pt idx="19">
                  <c:v>28.962625220482735</c:v>
                </c:pt>
                <c:pt idx="20">
                  <c:v>28.962617369246487</c:v>
                </c:pt>
                <c:pt idx="21">
                  <c:v>28.962607627730943</c:v>
                </c:pt>
                <c:pt idx="22">
                  <c:v>28.962595477231122</c:v>
                </c:pt>
                <c:pt idx="23">
                  <c:v>28.962580237990743</c:v>
                </c:pt>
                <c:pt idx="24">
                  <c:v>28.962561012963686</c:v>
                </c:pt>
                <c:pt idx="25">
                  <c:v>28.962536609601251</c:v>
                </c:pt>
                <c:pt idx="26">
                  <c:v>28.962505430101992</c:v>
                </c:pt>
                <c:pt idx="27">
                  <c:v>28.962465315945341</c:v>
                </c:pt>
                <c:pt idx="28">
                  <c:v>28.962413325454754</c:v>
                </c:pt>
                <c:pt idx="29">
                  <c:v>28.962345412157202</c:v>
                </c:pt>
                <c:pt idx="30">
                  <c:v>28.962255954453443</c:v>
                </c:pt>
                <c:pt idx="31">
                  <c:v>28.962137059633342</c:v>
                </c:pt>
                <c:pt idx="32">
                  <c:v>28.961977520876772</c:v>
                </c:pt>
                <c:pt idx="33">
                  <c:v>28.961761233075144</c:v>
                </c:pt>
                <c:pt idx="34">
                  <c:v>28.96146475200467</c:v>
                </c:pt>
                <c:pt idx="35">
                  <c:v>28.961053475866439</c:v>
                </c:pt>
                <c:pt idx="36">
                  <c:v>28.96047557385646</c:v>
                </c:pt>
                <c:pt idx="37">
                  <c:v>28.959652164143453</c:v>
                </c:pt>
                <c:pt idx="38">
                  <c:v>28.958461129893408</c:v>
                </c:pt>
                <c:pt idx="39">
                  <c:v>28.957037196260561</c:v>
                </c:pt>
                <c:pt idx="40">
                  <c:v>28.954395411530648</c:v>
                </c:pt>
                <c:pt idx="41">
                  <c:v>28.950684050996937</c:v>
                </c:pt>
                <c:pt idx="42">
                  <c:v>28.944700100374824</c:v>
                </c:pt>
                <c:pt idx="43">
                  <c:v>28.935367545430665</c:v>
                </c:pt>
                <c:pt idx="44">
                  <c:v>28.92001625059239</c:v>
                </c:pt>
                <c:pt idx="45">
                  <c:v>28.894618622841172</c:v>
                </c:pt>
                <c:pt idx="46">
                  <c:v>28.850935646323222</c:v>
                </c:pt>
                <c:pt idx="47">
                  <c:v>28.774960353849313</c:v>
                </c:pt>
                <c:pt idx="48">
                  <c:v>28.637908215888746</c:v>
                </c:pt>
                <c:pt idx="49">
                  <c:v>28.390076079895955</c:v>
                </c:pt>
                <c:pt idx="50">
                  <c:v>27.919533186341514</c:v>
                </c:pt>
                <c:pt idx="51">
                  <c:v>27.827361667573342</c:v>
                </c:pt>
                <c:pt idx="52">
                  <c:v>27.827361667573342</c:v>
                </c:pt>
                <c:pt idx="53">
                  <c:v>26.684361667573341</c:v>
                </c:pt>
                <c:pt idx="54">
                  <c:v>26.684361667573341</c:v>
                </c:pt>
                <c:pt idx="55">
                  <c:v>26.684360667573344</c:v>
                </c:pt>
                <c:pt idx="56">
                  <c:v>26.684359667573343</c:v>
                </c:pt>
                <c:pt idx="57">
                  <c:v>26.684358667573342</c:v>
                </c:pt>
                <c:pt idx="58">
                  <c:v>26.684357667573341</c:v>
                </c:pt>
                <c:pt idx="59">
                  <c:v>26.684356667573343</c:v>
                </c:pt>
                <c:pt idx="60">
                  <c:v>26.684355667573342</c:v>
                </c:pt>
                <c:pt idx="61">
                  <c:v>26.684354667573341</c:v>
                </c:pt>
                <c:pt idx="62">
                  <c:v>26.684353517440734</c:v>
                </c:pt>
                <c:pt idx="63">
                  <c:v>26.684352142648851</c:v>
                </c:pt>
                <c:pt idx="64">
                  <c:v>26.684350500269282</c:v>
                </c:pt>
                <c:pt idx="65">
                  <c:v>26.684348530549428</c:v>
                </c:pt>
                <c:pt idx="66">
                  <c:v>26.68434615981009</c:v>
                </c:pt>
                <c:pt idx="67">
                  <c:v>26.68434329560451</c:v>
                </c:pt>
                <c:pt idx="68">
                  <c:v>26.684339821554168</c:v>
                </c:pt>
                <c:pt idx="69">
                  <c:v>26.684335590405297</c:v>
                </c:pt>
                <c:pt idx="70">
                  <c:v>26.684330414876193</c:v>
                </c:pt>
                <c:pt idx="71">
                  <c:v>26.684324055483277</c:v>
                </c:pt>
                <c:pt idx="72">
                  <c:v>26.684316204247029</c:v>
                </c:pt>
                <c:pt idx="73">
                  <c:v>26.684306462731485</c:v>
                </c:pt>
                <c:pt idx="74">
                  <c:v>26.684294312231664</c:v>
                </c:pt>
                <c:pt idx="75">
                  <c:v>26.684279072991284</c:v>
                </c:pt>
                <c:pt idx="76">
                  <c:v>26.684259847964228</c:v>
                </c:pt>
                <c:pt idx="77">
                  <c:v>26.684235444601793</c:v>
                </c:pt>
                <c:pt idx="78">
                  <c:v>26.684204265102533</c:v>
                </c:pt>
                <c:pt idx="79">
                  <c:v>26.684164150945882</c:v>
                </c:pt>
                <c:pt idx="80">
                  <c:v>26.684112160455296</c:v>
                </c:pt>
                <c:pt idx="81">
                  <c:v>26.684044247157743</c:v>
                </c:pt>
                <c:pt idx="82">
                  <c:v>26.683954789453985</c:v>
                </c:pt>
                <c:pt idx="83">
                  <c:v>26.683835894633884</c:v>
                </c:pt>
                <c:pt idx="84">
                  <c:v>26.683676355877314</c:v>
                </c:pt>
                <c:pt idx="85">
                  <c:v>26.683460068075686</c:v>
                </c:pt>
                <c:pt idx="86">
                  <c:v>26.683163587005211</c:v>
                </c:pt>
                <c:pt idx="87">
                  <c:v>26.682752310866981</c:v>
                </c:pt>
                <c:pt idx="88">
                  <c:v>26.682174408857001</c:v>
                </c:pt>
                <c:pt idx="89">
                  <c:v>26.681350999143994</c:v>
                </c:pt>
                <c:pt idx="90">
                  <c:v>26.680159964893949</c:v>
                </c:pt>
                <c:pt idx="91">
                  <c:v>26.678736031261103</c:v>
                </c:pt>
                <c:pt idx="92">
                  <c:v>26.676094246531189</c:v>
                </c:pt>
                <c:pt idx="93">
                  <c:v>26.672382885997479</c:v>
                </c:pt>
                <c:pt idx="94">
                  <c:v>26.666398935375366</c:v>
                </c:pt>
                <c:pt idx="95">
                  <c:v>26.657066380431207</c:v>
                </c:pt>
                <c:pt idx="96">
                  <c:v>26.641715085592931</c:v>
                </c:pt>
                <c:pt idx="97">
                  <c:v>26.616317457841717</c:v>
                </c:pt>
                <c:pt idx="98">
                  <c:v>26.572634481323764</c:v>
                </c:pt>
                <c:pt idx="99">
                  <c:v>26.496659188849854</c:v>
                </c:pt>
                <c:pt idx="100">
                  <c:v>26.359607050889288</c:v>
                </c:pt>
                <c:pt idx="101">
                  <c:v>26.111774914896497</c:v>
                </c:pt>
                <c:pt idx="102">
                  <c:v>25.641232021342056</c:v>
                </c:pt>
                <c:pt idx="103">
                  <c:v>25.549060502573884</c:v>
                </c:pt>
                <c:pt idx="104">
                  <c:v>25.549060502573887</c:v>
                </c:pt>
                <c:pt idx="105">
                  <c:v>24.406060502573887</c:v>
                </c:pt>
                <c:pt idx="106">
                  <c:v>24.406060502573887</c:v>
                </c:pt>
                <c:pt idx="107">
                  <c:v>24.406059502573889</c:v>
                </c:pt>
                <c:pt idx="108">
                  <c:v>24.406058502573888</c:v>
                </c:pt>
                <c:pt idx="109">
                  <c:v>24.406057502573887</c:v>
                </c:pt>
                <c:pt idx="110">
                  <c:v>24.406056502573886</c:v>
                </c:pt>
                <c:pt idx="111">
                  <c:v>24.406055502573889</c:v>
                </c:pt>
                <c:pt idx="112">
                  <c:v>24.406054502573888</c:v>
                </c:pt>
                <c:pt idx="113">
                  <c:v>24.406053502573887</c:v>
                </c:pt>
                <c:pt idx="114">
                  <c:v>24.406052352441279</c:v>
                </c:pt>
                <c:pt idx="115">
                  <c:v>24.406050977649397</c:v>
                </c:pt>
                <c:pt idx="116">
                  <c:v>24.406049335269827</c:v>
                </c:pt>
                <c:pt idx="117">
                  <c:v>24.406047365549973</c:v>
                </c:pt>
                <c:pt idx="118">
                  <c:v>24.406044994810635</c:v>
                </c:pt>
                <c:pt idx="119">
                  <c:v>24.406042130605055</c:v>
                </c:pt>
                <c:pt idx="120">
                  <c:v>24.406038656554713</c:v>
                </c:pt>
                <c:pt idx="121">
                  <c:v>24.406034425405842</c:v>
                </c:pt>
                <c:pt idx="122">
                  <c:v>24.406029249876738</c:v>
                </c:pt>
                <c:pt idx="123">
                  <c:v>24.406022890483822</c:v>
                </c:pt>
                <c:pt idx="124">
                  <c:v>24.406015039247574</c:v>
                </c:pt>
                <c:pt idx="125">
                  <c:v>24.40600529773203</c:v>
                </c:pt>
                <c:pt idx="126">
                  <c:v>24.405993147232209</c:v>
                </c:pt>
                <c:pt idx="127">
                  <c:v>24.405977907991829</c:v>
                </c:pt>
                <c:pt idx="128">
                  <c:v>24.405958682964773</c:v>
                </c:pt>
                <c:pt idx="129">
                  <c:v>24.405934279602338</c:v>
                </c:pt>
                <c:pt idx="130">
                  <c:v>24.405903100103078</c:v>
                </c:pt>
                <c:pt idx="131">
                  <c:v>24.405862985946428</c:v>
                </c:pt>
                <c:pt idx="132">
                  <c:v>24.405810995455841</c:v>
                </c:pt>
                <c:pt idx="133">
                  <c:v>24.405743082158288</c:v>
                </c:pt>
                <c:pt idx="134">
                  <c:v>24.40565362445453</c:v>
                </c:pt>
                <c:pt idx="135">
                  <c:v>24.405534729634429</c:v>
                </c:pt>
                <c:pt idx="136">
                  <c:v>24.405375190877859</c:v>
                </c:pt>
                <c:pt idx="137">
                  <c:v>24.405158903076231</c:v>
                </c:pt>
                <c:pt idx="138">
                  <c:v>24.404862422005756</c:v>
                </c:pt>
                <c:pt idx="139">
                  <c:v>24.404451145867526</c:v>
                </c:pt>
                <c:pt idx="140">
                  <c:v>24.403873243857547</c:v>
                </c:pt>
                <c:pt idx="141">
                  <c:v>24.403049834144539</c:v>
                </c:pt>
                <c:pt idx="142">
                  <c:v>24.401858799894494</c:v>
                </c:pt>
                <c:pt idx="143">
                  <c:v>24.400434866261648</c:v>
                </c:pt>
                <c:pt idx="144">
                  <c:v>24.397793081531734</c:v>
                </c:pt>
                <c:pt idx="145">
                  <c:v>24.394081720998024</c:v>
                </c:pt>
                <c:pt idx="146">
                  <c:v>24.388097770375911</c:v>
                </c:pt>
                <c:pt idx="147">
                  <c:v>24.378765215431752</c:v>
                </c:pt>
                <c:pt idx="148">
                  <c:v>24.363413920593477</c:v>
                </c:pt>
                <c:pt idx="149">
                  <c:v>24.338016292842262</c:v>
                </c:pt>
                <c:pt idx="150">
                  <c:v>24.294333316324309</c:v>
                </c:pt>
                <c:pt idx="151">
                  <c:v>24.218358023850399</c:v>
                </c:pt>
                <c:pt idx="152">
                  <c:v>24.081305885889833</c:v>
                </c:pt>
                <c:pt idx="153">
                  <c:v>23.833473749897042</c:v>
                </c:pt>
                <c:pt idx="154">
                  <c:v>23.362930856342601</c:v>
                </c:pt>
                <c:pt idx="155">
                  <c:v>23.270759337574429</c:v>
                </c:pt>
                <c:pt idx="156">
                  <c:v>23.270759337574429</c:v>
                </c:pt>
                <c:pt idx="157">
                  <c:v>22.127759337574428</c:v>
                </c:pt>
                <c:pt idx="158">
                  <c:v>22.127759337574428</c:v>
                </c:pt>
                <c:pt idx="159">
                  <c:v>22.127758337574431</c:v>
                </c:pt>
                <c:pt idx="160">
                  <c:v>22.12775733757443</c:v>
                </c:pt>
                <c:pt idx="161">
                  <c:v>22.127756337574429</c:v>
                </c:pt>
                <c:pt idx="162">
                  <c:v>22.127755337574428</c:v>
                </c:pt>
                <c:pt idx="163">
                  <c:v>22.12775433757443</c:v>
                </c:pt>
                <c:pt idx="164">
                  <c:v>22.127753337574429</c:v>
                </c:pt>
                <c:pt idx="165">
                  <c:v>22.127752337574428</c:v>
                </c:pt>
                <c:pt idx="166">
                  <c:v>22.12775118744182</c:v>
                </c:pt>
                <c:pt idx="167">
                  <c:v>22.127749812649938</c:v>
                </c:pt>
                <c:pt idx="168">
                  <c:v>22.127748170270369</c:v>
                </c:pt>
                <c:pt idx="169">
                  <c:v>22.127746200550519</c:v>
                </c:pt>
                <c:pt idx="170">
                  <c:v>22.127743829811177</c:v>
                </c:pt>
                <c:pt idx="171">
                  <c:v>22.127740965605597</c:v>
                </c:pt>
                <c:pt idx="172">
                  <c:v>22.127737491555251</c:v>
                </c:pt>
                <c:pt idx="173">
                  <c:v>22.127733260406384</c:v>
                </c:pt>
                <c:pt idx="174">
                  <c:v>22.127728084877276</c:v>
                </c:pt>
                <c:pt idx="175">
                  <c:v>22.127721725484363</c:v>
                </c:pt>
                <c:pt idx="176">
                  <c:v>22.127713874248116</c:v>
                </c:pt>
                <c:pt idx="177">
                  <c:v>22.127704132732571</c:v>
                </c:pt>
                <c:pt idx="178">
                  <c:v>22.127691982232751</c:v>
                </c:pt>
                <c:pt idx="179">
                  <c:v>22.127676742992371</c:v>
                </c:pt>
                <c:pt idx="180">
                  <c:v>22.127657517965314</c:v>
                </c:pt>
                <c:pt idx="181">
                  <c:v>22.12763311460288</c:v>
                </c:pt>
                <c:pt idx="182">
                  <c:v>22.12760193510362</c:v>
                </c:pt>
                <c:pt idx="183">
                  <c:v>22.127561820946969</c:v>
                </c:pt>
                <c:pt idx="184">
                  <c:v>22.127509830456383</c:v>
                </c:pt>
                <c:pt idx="185">
                  <c:v>22.12744191715883</c:v>
                </c:pt>
                <c:pt idx="186">
                  <c:v>22.127352459455071</c:v>
                </c:pt>
                <c:pt idx="187">
                  <c:v>22.12723356463497</c:v>
                </c:pt>
                <c:pt idx="188">
                  <c:v>22.1270740258784</c:v>
                </c:pt>
                <c:pt idx="189">
                  <c:v>22.126857738076772</c:v>
                </c:pt>
                <c:pt idx="190">
                  <c:v>22.126561257006298</c:v>
                </c:pt>
                <c:pt idx="191">
                  <c:v>22.126149980868068</c:v>
                </c:pt>
                <c:pt idx="192">
                  <c:v>22.125572078858088</c:v>
                </c:pt>
                <c:pt idx="193">
                  <c:v>22.124748669145081</c:v>
                </c:pt>
                <c:pt idx="194">
                  <c:v>22.123557634895036</c:v>
                </c:pt>
                <c:pt idx="195">
                  <c:v>22.122133701262189</c:v>
                </c:pt>
                <c:pt idx="196">
                  <c:v>22.119491916532276</c:v>
                </c:pt>
                <c:pt idx="197">
                  <c:v>22.115780555998565</c:v>
                </c:pt>
                <c:pt idx="198">
                  <c:v>22.109796605376452</c:v>
                </c:pt>
                <c:pt idx="199">
                  <c:v>22.100464050432294</c:v>
                </c:pt>
                <c:pt idx="200">
                  <c:v>22.085112755594018</c:v>
                </c:pt>
                <c:pt idx="201">
                  <c:v>22.0597151278428</c:v>
                </c:pt>
                <c:pt idx="202">
                  <c:v>22.01603215132485</c:v>
                </c:pt>
                <c:pt idx="203">
                  <c:v>21.940056858850941</c:v>
                </c:pt>
                <c:pt idx="204">
                  <c:v>21.803004720890375</c:v>
                </c:pt>
                <c:pt idx="205">
                  <c:v>21.555172584897583</c:v>
                </c:pt>
                <c:pt idx="206">
                  <c:v>21.084629691343142</c:v>
                </c:pt>
                <c:pt idx="207">
                  <c:v>20.99245817257497</c:v>
                </c:pt>
                <c:pt idx="208">
                  <c:v>20.99245817257497</c:v>
                </c:pt>
                <c:pt idx="209">
                  <c:v>19.84945817257497</c:v>
                </c:pt>
                <c:pt idx="210">
                  <c:v>19.84945817257497</c:v>
                </c:pt>
                <c:pt idx="211">
                  <c:v>19.849457172574972</c:v>
                </c:pt>
                <c:pt idx="212">
                  <c:v>19.849456172574971</c:v>
                </c:pt>
                <c:pt idx="213">
                  <c:v>19.84945517257497</c:v>
                </c:pt>
                <c:pt idx="214">
                  <c:v>19.849454172574969</c:v>
                </c:pt>
                <c:pt idx="215">
                  <c:v>19.849453172574972</c:v>
                </c:pt>
                <c:pt idx="216">
                  <c:v>19.849452172574971</c:v>
                </c:pt>
                <c:pt idx="217">
                  <c:v>19.84945117257497</c:v>
                </c:pt>
                <c:pt idx="218">
                  <c:v>19.849450022442362</c:v>
                </c:pt>
                <c:pt idx="219">
                  <c:v>19.84944864765048</c:v>
                </c:pt>
                <c:pt idx="220">
                  <c:v>19.84944700527091</c:v>
                </c:pt>
                <c:pt idx="221">
                  <c:v>19.849445035551057</c:v>
                </c:pt>
                <c:pt idx="222">
                  <c:v>19.849442664811718</c:v>
                </c:pt>
                <c:pt idx="223">
                  <c:v>19.849439800606138</c:v>
                </c:pt>
                <c:pt idx="224">
                  <c:v>19.849436326555796</c:v>
                </c:pt>
                <c:pt idx="225">
                  <c:v>19.849432095406925</c:v>
                </c:pt>
                <c:pt idx="226">
                  <c:v>19.849426919877821</c:v>
                </c:pt>
                <c:pt idx="227">
                  <c:v>19.849420560484905</c:v>
                </c:pt>
                <c:pt idx="228">
                  <c:v>19.849412709248657</c:v>
                </c:pt>
                <c:pt idx="229">
                  <c:v>19.849402967733113</c:v>
                </c:pt>
                <c:pt idx="230">
                  <c:v>19.849390817233292</c:v>
                </c:pt>
                <c:pt idx="231">
                  <c:v>19.849375577992912</c:v>
                </c:pt>
                <c:pt idx="232">
                  <c:v>19.849356352965856</c:v>
                </c:pt>
                <c:pt idx="233">
                  <c:v>19.849331949603421</c:v>
                </c:pt>
                <c:pt idx="234">
                  <c:v>19.849300770104161</c:v>
                </c:pt>
                <c:pt idx="235">
                  <c:v>19.849260655947511</c:v>
                </c:pt>
                <c:pt idx="236">
                  <c:v>19.849208665456924</c:v>
                </c:pt>
                <c:pt idx="237">
                  <c:v>19.849140752159371</c:v>
                </c:pt>
                <c:pt idx="238">
                  <c:v>19.849051294455613</c:v>
                </c:pt>
                <c:pt idx="239">
                  <c:v>19.848932399635512</c:v>
                </c:pt>
                <c:pt idx="240">
                  <c:v>19.848772860878942</c:v>
                </c:pt>
                <c:pt idx="241">
                  <c:v>19.848556573077314</c:v>
                </c:pt>
                <c:pt idx="242">
                  <c:v>19.848260092006839</c:v>
                </c:pt>
                <c:pt idx="243">
                  <c:v>19.847848815868609</c:v>
                </c:pt>
                <c:pt idx="244">
                  <c:v>19.84727091385863</c:v>
                </c:pt>
                <c:pt idx="245">
                  <c:v>19.846447504145623</c:v>
                </c:pt>
                <c:pt idx="246">
                  <c:v>19.845256469895578</c:v>
                </c:pt>
                <c:pt idx="247">
                  <c:v>19.843832536262731</c:v>
                </c:pt>
                <c:pt idx="248">
                  <c:v>19.841190751532817</c:v>
                </c:pt>
                <c:pt idx="249">
                  <c:v>19.837479390999107</c:v>
                </c:pt>
                <c:pt idx="250">
                  <c:v>19.831495440376994</c:v>
                </c:pt>
                <c:pt idx="251">
                  <c:v>19.822162885432835</c:v>
                </c:pt>
                <c:pt idx="252">
                  <c:v>19.80681159059456</c:v>
                </c:pt>
                <c:pt idx="253">
                  <c:v>19.781413962843345</c:v>
                </c:pt>
                <c:pt idx="254">
                  <c:v>19.737730986325392</c:v>
                </c:pt>
                <c:pt idx="255">
                  <c:v>19.661755693851482</c:v>
                </c:pt>
                <c:pt idx="256">
                  <c:v>19.524703555890916</c:v>
                </c:pt>
                <c:pt idx="257">
                  <c:v>19.276871419898125</c:v>
                </c:pt>
                <c:pt idx="258">
                  <c:v>18.806328526343684</c:v>
                </c:pt>
                <c:pt idx="259">
                  <c:v>18.714157007575512</c:v>
                </c:pt>
                <c:pt idx="260">
                  <c:v>18.714157007575512</c:v>
                </c:pt>
                <c:pt idx="261">
                  <c:v>17.571157007575511</c:v>
                </c:pt>
                <c:pt idx="262">
                  <c:v>17.571157007575511</c:v>
                </c:pt>
                <c:pt idx="263">
                  <c:v>17.571156007575514</c:v>
                </c:pt>
                <c:pt idx="264">
                  <c:v>17.571155007575513</c:v>
                </c:pt>
                <c:pt idx="265">
                  <c:v>17.571154007575512</c:v>
                </c:pt>
                <c:pt idx="266">
                  <c:v>17.571153007575511</c:v>
                </c:pt>
                <c:pt idx="267">
                  <c:v>17.571152007575513</c:v>
                </c:pt>
                <c:pt idx="268">
                  <c:v>17.571151007575512</c:v>
                </c:pt>
                <c:pt idx="269">
                  <c:v>17.571150007575511</c:v>
                </c:pt>
                <c:pt idx="270">
                  <c:v>17.571148857442903</c:v>
                </c:pt>
                <c:pt idx="271">
                  <c:v>17.571147482651021</c:v>
                </c:pt>
                <c:pt idx="272">
                  <c:v>17.571145840271452</c:v>
                </c:pt>
                <c:pt idx="273">
                  <c:v>17.571143870551602</c:v>
                </c:pt>
                <c:pt idx="274">
                  <c:v>17.57114149981226</c:v>
                </c:pt>
                <c:pt idx="275">
                  <c:v>17.57113863560668</c:v>
                </c:pt>
                <c:pt idx="276">
                  <c:v>17.571135161556334</c:v>
                </c:pt>
                <c:pt idx="277">
                  <c:v>17.571130930407467</c:v>
                </c:pt>
                <c:pt idx="278">
                  <c:v>17.571125754878359</c:v>
                </c:pt>
                <c:pt idx="279">
                  <c:v>17.571119395485447</c:v>
                </c:pt>
                <c:pt idx="280">
                  <c:v>17.571111544249199</c:v>
                </c:pt>
                <c:pt idx="281">
                  <c:v>17.571101802733654</c:v>
                </c:pt>
                <c:pt idx="282">
                  <c:v>17.571089652233834</c:v>
                </c:pt>
                <c:pt idx="283">
                  <c:v>17.571074412993454</c:v>
                </c:pt>
                <c:pt idx="284">
                  <c:v>17.571055187966397</c:v>
                </c:pt>
                <c:pt idx="285">
                  <c:v>17.571030784603963</c:v>
                </c:pt>
                <c:pt idx="286">
                  <c:v>17.570999605104703</c:v>
                </c:pt>
                <c:pt idx="287">
                  <c:v>17.570959490948052</c:v>
                </c:pt>
                <c:pt idx="288">
                  <c:v>17.570907500457466</c:v>
                </c:pt>
                <c:pt idx="289">
                  <c:v>17.570839587159913</c:v>
                </c:pt>
                <c:pt idx="290">
                  <c:v>17.570750129456155</c:v>
                </c:pt>
                <c:pt idx="291">
                  <c:v>17.570631234636053</c:v>
                </c:pt>
                <c:pt idx="292">
                  <c:v>17.570471695879483</c:v>
                </c:pt>
                <c:pt idx="293">
                  <c:v>17.570255408077855</c:v>
                </c:pt>
                <c:pt idx="294">
                  <c:v>17.569958927007381</c:v>
                </c:pt>
                <c:pt idx="295">
                  <c:v>17.569547650869151</c:v>
                </c:pt>
                <c:pt idx="296">
                  <c:v>17.568969748859171</c:v>
                </c:pt>
                <c:pt idx="297">
                  <c:v>17.568146339146164</c:v>
                </c:pt>
                <c:pt idx="298">
                  <c:v>17.566955304896119</c:v>
                </c:pt>
                <c:pt idx="299">
                  <c:v>17.565531371263273</c:v>
                </c:pt>
                <c:pt idx="300">
                  <c:v>17.562889586533359</c:v>
                </c:pt>
                <c:pt idx="301">
                  <c:v>17.559178225999649</c:v>
                </c:pt>
                <c:pt idx="302">
                  <c:v>17.553194275377535</c:v>
                </c:pt>
                <c:pt idx="303">
                  <c:v>17.543861720433377</c:v>
                </c:pt>
                <c:pt idx="304">
                  <c:v>17.528510425595101</c:v>
                </c:pt>
                <c:pt idx="305">
                  <c:v>17.503112797843883</c:v>
                </c:pt>
                <c:pt idx="306">
                  <c:v>17.459429821325934</c:v>
                </c:pt>
                <c:pt idx="307">
                  <c:v>17.383454528852024</c:v>
                </c:pt>
                <c:pt idx="308">
                  <c:v>17.246402390891458</c:v>
                </c:pt>
                <c:pt idx="309">
                  <c:v>16.998570254898667</c:v>
                </c:pt>
                <c:pt idx="310">
                  <c:v>16.528027361344225</c:v>
                </c:pt>
                <c:pt idx="311">
                  <c:v>16.435855842576053</c:v>
                </c:pt>
                <c:pt idx="312">
                  <c:v>16.435855842576053</c:v>
                </c:pt>
                <c:pt idx="313">
                  <c:v>15.292855842576053</c:v>
                </c:pt>
                <c:pt idx="314">
                  <c:v>15.292855842576053</c:v>
                </c:pt>
                <c:pt idx="315">
                  <c:v>15.292854842576054</c:v>
                </c:pt>
                <c:pt idx="316">
                  <c:v>15.292853842576054</c:v>
                </c:pt>
                <c:pt idx="317">
                  <c:v>15.292852842576053</c:v>
                </c:pt>
                <c:pt idx="318">
                  <c:v>15.292851842576054</c:v>
                </c:pt>
                <c:pt idx="319">
                  <c:v>15.292850842576053</c:v>
                </c:pt>
                <c:pt idx="320">
                  <c:v>15.292849842576054</c:v>
                </c:pt>
                <c:pt idx="321">
                  <c:v>15.292848842576053</c:v>
                </c:pt>
                <c:pt idx="322">
                  <c:v>15.292847692443443</c:v>
                </c:pt>
                <c:pt idx="323">
                  <c:v>15.292846317651561</c:v>
                </c:pt>
                <c:pt idx="324">
                  <c:v>15.292844675271994</c:v>
                </c:pt>
                <c:pt idx="325">
                  <c:v>15.292842705552141</c:v>
                </c:pt>
                <c:pt idx="326">
                  <c:v>15.292840334812803</c:v>
                </c:pt>
                <c:pt idx="327">
                  <c:v>15.292837470607221</c:v>
                </c:pt>
                <c:pt idx="328">
                  <c:v>15.292833996556878</c:v>
                </c:pt>
                <c:pt idx="329">
                  <c:v>15.29282976540801</c:v>
                </c:pt>
                <c:pt idx="330">
                  <c:v>15.292824589878903</c:v>
                </c:pt>
                <c:pt idx="331">
                  <c:v>15.292818230485986</c:v>
                </c:pt>
                <c:pt idx="332">
                  <c:v>15.29281037924974</c:v>
                </c:pt>
                <c:pt idx="333">
                  <c:v>15.292800637734196</c:v>
                </c:pt>
                <c:pt idx="334">
                  <c:v>15.292788487234375</c:v>
                </c:pt>
                <c:pt idx="335">
                  <c:v>15.292773247993997</c:v>
                </c:pt>
                <c:pt idx="336">
                  <c:v>15.292754022966939</c:v>
                </c:pt>
                <c:pt idx="337">
                  <c:v>15.292729619604502</c:v>
                </c:pt>
                <c:pt idx="338">
                  <c:v>15.292698440105244</c:v>
                </c:pt>
                <c:pt idx="339">
                  <c:v>15.292658325948594</c:v>
                </c:pt>
                <c:pt idx="340">
                  <c:v>15.292606335458009</c:v>
                </c:pt>
                <c:pt idx="341">
                  <c:v>15.292538422160456</c:v>
                </c:pt>
                <c:pt idx="342">
                  <c:v>15.292448964456698</c:v>
                </c:pt>
                <c:pt idx="343">
                  <c:v>15.292330069636595</c:v>
                </c:pt>
                <c:pt idx="344">
                  <c:v>15.292170530880023</c:v>
                </c:pt>
                <c:pt idx="345">
                  <c:v>15.291954243078395</c:v>
                </c:pt>
                <c:pt idx="346">
                  <c:v>15.291657762007924</c:v>
                </c:pt>
                <c:pt idx="347">
                  <c:v>15.291246485869692</c:v>
                </c:pt>
                <c:pt idx="348">
                  <c:v>15.290668583859713</c:v>
                </c:pt>
                <c:pt idx="349">
                  <c:v>15.289845174146706</c:v>
                </c:pt>
                <c:pt idx="350">
                  <c:v>15.288654139896659</c:v>
                </c:pt>
                <c:pt idx="351">
                  <c:v>15.287230206263814</c:v>
                </c:pt>
                <c:pt idx="352">
                  <c:v>15.284588421533901</c:v>
                </c:pt>
                <c:pt idx="353">
                  <c:v>15.280877061000188</c:v>
                </c:pt>
                <c:pt idx="354">
                  <c:v>15.274893110378077</c:v>
                </c:pt>
                <c:pt idx="355">
                  <c:v>15.265560555433918</c:v>
                </c:pt>
                <c:pt idx="356">
                  <c:v>15.250209260595643</c:v>
                </c:pt>
                <c:pt idx="357">
                  <c:v>15.224811632844427</c:v>
                </c:pt>
                <c:pt idx="358">
                  <c:v>15.181128656326475</c:v>
                </c:pt>
                <c:pt idx="359">
                  <c:v>15.105153363852565</c:v>
                </c:pt>
                <c:pt idx="360">
                  <c:v>14.968101225892001</c:v>
                </c:pt>
                <c:pt idx="361">
                  <c:v>14.720269089899208</c:v>
                </c:pt>
                <c:pt idx="362">
                  <c:v>14.249726196344767</c:v>
                </c:pt>
                <c:pt idx="363">
                  <c:v>14.157554677576595</c:v>
                </c:pt>
                <c:pt idx="364">
                  <c:v>14.157554677576599</c:v>
                </c:pt>
                <c:pt idx="365">
                  <c:v>13.014554677576598</c:v>
                </c:pt>
                <c:pt idx="366">
                  <c:v>13.014554677576598</c:v>
                </c:pt>
                <c:pt idx="367">
                  <c:v>13.014553677576599</c:v>
                </c:pt>
                <c:pt idx="368">
                  <c:v>13.014552677576599</c:v>
                </c:pt>
                <c:pt idx="369">
                  <c:v>13.014551677576598</c:v>
                </c:pt>
                <c:pt idx="370">
                  <c:v>13.014550677576599</c:v>
                </c:pt>
                <c:pt idx="371">
                  <c:v>13.014549677576598</c:v>
                </c:pt>
                <c:pt idx="372">
                  <c:v>13.014548677576599</c:v>
                </c:pt>
                <c:pt idx="373">
                  <c:v>13.014547677576598</c:v>
                </c:pt>
                <c:pt idx="374">
                  <c:v>13.014546527443988</c:v>
                </c:pt>
                <c:pt idx="375">
                  <c:v>13.014545152652106</c:v>
                </c:pt>
                <c:pt idx="376">
                  <c:v>13.014543510272539</c:v>
                </c:pt>
                <c:pt idx="377">
                  <c:v>13.014541540552687</c:v>
                </c:pt>
                <c:pt idx="378">
                  <c:v>13.014539169813348</c:v>
                </c:pt>
                <c:pt idx="379">
                  <c:v>13.014536305607766</c:v>
                </c:pt>
                <c:pt idx="380">
                  <c:v>13.014532831557423</c:v>
                </c:pt>
                <c:pt idx="381">
                  <c:v>13.014528600408555</c:v>
                </c:pt>
                <c:pt idx="382">
                  <c:v>13.014523424879448</c:v>
                </c:pt>
                <c:pt idx="383">
                  <c:v>13.014517065486531</c:v>
                </c:pt>
                <c:pt idx="384">
                  <c:v>13.014509214250285</c:v>
                </c:pt>
                <c:pt idx="385">
                  <c:v>13.014499472734741</c:v>
                </c:pt>
                <c:pt idx="386">
                  <c:v>13.01448732223492</c:v>
                </c:pt>
                <c:pt idx="387">
                  <c:v>13.014472082994542</c:v>
                </c:pt>
                <c:pt idx="388">
                  <c:v>13.014452857967484</c:v>
                </c:pt>
                <c:pt idx="389">
                  <c:v>13.014428454605047</c:v>
                </c:pt>
                <c:pt idx="390">
                  <c:v>13.014397275105789</c:v>
                </c:pt>
                <c:pt idx="391">
                  <c:v>13.014357160949139</c:v>
                </c:pt>
                <c:pt idx="392">
                  <c:v>13.014305170458554</c:v>
                </c:pt>
                <c:pt idx="393">
                  <c:v>13.014237257161001</c:v>
                </c:pt>
                <c:pt idx="394">
                  <c:v>13.014147799457243</c:v>
                </c:pt>
                <c:pt idx="395">
                  <c:v>13.01402890463714</c:v>
                </c:pt>
                <c:pt idx="396">
                  <c:v>13.013869365880568</c:v>
                </c:pt>
                <c:pt idx="397">
                  <c:v>13.01365307807894</c:v>
                </c:pt>
                <c:pt idx="398">
                  <c:v>13.013356597008469</c:v>
                </c:pt>
                <c:pt idx="399">
                  <c:v>13.012945320870237</c:v>
                </c:pt>
                <c:pt idx="400">
                  <c:v>13.012367418860258</c:v>
                </c:pt>
                <c:pt idx="401">
                  <c:v>13.011544009147251</c:v>
                </c:pt>
                <c:pt idx="402">
                  <c:v>13.010352974897204</c:v>
                </c:pt>
                <c:pt idx="403">
                  <c:v>13.008929041264359</c:v>
                </c:pt>
                <c:pt idx="404">
                  <c:v>13.006287256534446</c:v>
                </c:pt>
                <c:pt idx="405">
                  <c:v>13.002575896000733</c:v>
                </c:pt>
                <c:pt idx="406">
                  <c:v>12.996591945378622</c:v>
                </c:pt>
                <c:pt idx="407">
                  <c:v>12.987259390434463</c:v>
                </c:pt>
                <c:pt idx="408">
                  <c:v>12.971908095596188</c:v>
                </c:pt>
                <c:pt idx="409">
                  <c:v>12.946510467844972</c:v>
                </c:pt>
                <c:pt idx="410">
                  <c:v>12.90282749132702</c:v>
                </c:pt>
                <c:pt idx="411">
                  <c:v>12.826852198853111</c:v>
                </c:pt>
                <c:pt idx="412">
                  <c:v>12.689800060892546</c:v>
                </c:pt>
                <c:pt idx="413">
                  <c:v>12.441967924899753</c:v>
                </c:pt>
                <c:pt idx="414">
                  <c:v>11.971425031345312</c:v>
                </c:pt>
                <c:pt idx="415">
                  <c:v>11.87925351257714</c:v>
                </c:pt>
                <c:pt idx="416">
                  <c:v>11.87925351257714</c:v>
                </c:pt>
                <c:pt idx="417">
                  <c:v>10.736253512577139</c:v>
                </c:pt>
                <c:pt idx="418">
                  <c:v>10.736253512577139</c:v>
                </c:pt>
                <c:pt idx="419">
                  <c:v>10.73625251257714</c:v>
                </c:pt>
                <c:pt idx="420">
                  <c:v>10.736251512577141</c:v>
                </c:pt>
                <c:pt idx="421">
                  <c:v>10.73625051257714</c:v>
                </c:pt>
                <c:pt idx="422">
                  <c:v>10.736249512577141</c:v>
                </c:pt>
                <c:pt idx="423">
                  <c:v>10.73624851257714</c:v>
                </c:pt>
                <c:pt idx="424">
                  <c:v>10.73624751257714</c:v>
                </c:pt>
                <c:pt idx="425">
                  <c:v>10.736246512577139</c:v>
                </c:pt>
                <c:pt idx="426">
                  <c:v>10.73624536244453</c:v>
                </c:pt>
                <c:pt idx="427">
                  <c:v>10.736243987652648</c:v>
                </c:pt>
                <c:pt idx="428">
                  <c:v>10.73624234527308</c:v>
                </c:pt>
                <c:pt idx="429">
                  <c:v>10.736240375553228</c:v>
                </c:pt>
                <c:pt idx="430">
                  <c:v>10.73623800481389</c:v>
                </c:pt>
                <c:pt idx="431">
                  <c:v>10.736235140608308</c:v>
                </c:pt>
                <c:pt idx="432">
                  <c:v>10.736231666557964</c:v>
                </c:pt>
                <c:pt idx="433">
                  <c:v>10.736227435409097</c:v>
                </c:pt>
                <c:pt idx="434">
                  <c:v>10.736222259879989</c:v>
                </c:pt>
                <c:pt idx="435">
                  <c:v>10.736215900487073</c:v>
                </c:pt>
                <c:pt idx="436">
                  <c:v>10.736208049250827</c:v>
                </c:pt>
                <c:pt idx="437">
                  <c:v>10.736198307735282</c:v>
                </c:pt>
                <c:pt idx="438">
                  <c:v>10.736186157235462</c:v>
                </c:pt>
                <c:pt idx="439">
                  <c:v>10.736170917995084</c:v>
                </c:pt>
                <c:pt idx="440">
                  <c:v>10.736151692968026</c:v>
                </c:pt>
                <c:pt idx="441">
                  <c:v>10.736127289605589</c:v>
                </c:pt>
                <c:pt idx="442">
                  <c:v>10.736096110106331</c:v>
                </c:pt>
                <c:pt idx="443">
                  <c:v>10.73605599594968</c:v>
                </c:pt>
                <c:pt idx="444">
                  <c:v>10.736004005459096</c:v>
                </c:pt>
                <c:pt idx="445">
                  <c:v>10.735936092161543</c:v>
                </c:pt>
                <c:pt idx="446">
                  <c:v>10.735846634457785</c:v>
                </c:pt>
                <c:pt idx="447">
                  <c:v>10.735727739637682</c:v>
                </c:pt>
                <c:pt idx="448">
                  <c:v>10.73556820088111</c:v>
                </c:pt>
                <c:pt idx="449">
                  <c:v>10.735351913079482</c:v>
                </c:pt>
                <c:pt idx="450">
                  <c:v>10.735055432009011</c:v>
                </c:pt>
                <c:pt idx="451">
                  <c:v>10.734644155870779</c:v>
                </c:pt>
                <c:pt idx="452">
                  <c:v>10.734066253860799</c:v>
                </c:pt>
                <c:pt idx="453">
                  <c:v>10.733242844147792</c:v>
                </c:pt>
                <c:pt idx="454">
                  <c:v>10.732051809897746</c:v>
                </c:pt>
                <c:pt idx="455">
                  <c:v>10.730627876264901</c:v>
                </c:pt>
                <c:pt idx="456">
                  <c:v>10.727986091534987</c:v>
                </c:pt>
                <c:pt idx="457">
                  <c:v>10.724274731001275</c:v>
                </c:pt>
                <c:pt idx="458">
                  <c:v>10.718290780379164</c:v>
                </c:pt>
                <c:pt idx="459">
                  <c:v>10.708958225435005</c:v>
                </c:pt>
                <c:pt idx="460">
                  <c:v>10.693606930596729</c:v>
                </c:pt>
                <c:pt idx="461">
                  <c:v>10.668209302845513</c:v>
                </c:pt>
                <c:pt idx="462">
                  <c:v>10.624526326327562</c:v>
                </c:pt>
                <c:pt idx="463">
                  <c:v>10.548551033853652</c:v>
                </c:pt>
                <c:pt idx="464">
                  <c:v>10.411498895893088</c:v>
                </c:pt>
                <c:pt idx="465">
                  <c:v>10.163666759900295</c:v>
                </c:pt>
                <c:pt idx="466">
                  <c:v>9.6931238663458537</c:v>
                </c:pt>
                <c:pt idx="467">
                  <c:v>9.6009523475776817</c:v>
                </c:pt>
                <c:pt idx="468">
                  <c:v>9.6009523475776817</c:v>
                </c:pt>
                <c:pt idx="469">
                  <c:v>8.457952347577681</c:v>
                </c:pt>
                <c:pt idx="470">
                  <c:v>8.457952347577681</c:v>
                </c:pt>
                <c:pt idx="471">
                  <c:v>8.4579513475776817</c:v>
                </c:pt>
                <c:pt idx="472">
                  <c:v>8.4579503475776825</c:v>
                </c:pt>
                <c:pt idx="473">
                  <c:v>8.4579493475776815</c:v>
                </c:pt>
                <c:pt idx="474">
                  <c:v>8.4579483475776822</c:v>
                </c:pt>
                <c:pt idx="475">
                  <c:v>8.4579473475776812</c:v>
                </c:pt>
                <c:pt idx="476">
                  <c:v>8.4579463475776819</c:v>
                </c:pt>
                <c:pt idx="477">
                  <c:v>8.4579453475776809</c:v>
                </c:pt>
                <c:pt idx="478">
                  <c:v>8.4579441974450713</c:v>
                </c:pt>
                <c:pt idx="479">
                  <c:v>8.4579428226531892</c:v>
                </c:pt>
                <c:pt idx="480">
                  <c:v>8.4579411802736217</c:v>
                </c:pt>
                <c:pt idx="481">
                  <c:v>8.4579392105537696</c:v>
                </c:pt>
                <c:pt idx="482">
                  <c:v>8.4579368398144315</c:v>
                </c:pt>
                <c:pt idx="483">
                  <c:v>8.4579339756088494</c:v>
                </c:pt>
                <c:pt idx="484">
                  <c:v>8.457930501558506</c:v>
                </c:pt>
                <c:pt idx="485">
                  <c:v>8.4579262704096383</c:v>
                </c:pt>
                <c:pt idx="486">
                  <c:v>8.4579210948805308</c:v>
                </c:pt>
                <c:pt idx="487">
                  <c:v>8.4579147354876145</c:v>
                </c:pt>
                <c:pt idx="488">
                  <c:v>8.4579068842513685</c:v>
                </c:pt>
                <c:pt idx="489">
                  <c:v>8.457897142735824</c:v>
                </c:pt>
                <c:pt idx="490">
                  <c:v>8.4578849922360035</c:v>
                </c:pt>
                <c:pt idx="491">
                  <c:v>8.4578697529956255</c:v>
                </c:pt>
                <c:pt idx="492">
                  <c:v>8.4578505279685672</c:v>
                </c:pt>
                <c:pt idx="493">
                  <c:v>8.4578261246061306</c:v>
                </c:pt>
                <c:pt idx="494">
                  <c:v>8.4577949451068726</c:v>
                </c:pt>
                <c:pt idx="495">
                  <c:v>8.457754830950222</c:v>
                </c:pt>
                <c:pt idx="496">
                  <c:v>8.4577028404596373</c:v>
                </c:pt>
                <c:pt idx="497">
                  <c:v>8.4576349271620845</c:v>
                </c:pt>
                <c:pt idx="498">
                  <c:v>8.4575454694583261</c:v>
                </c:pt>
                <c:pt idx="499">
                  <c:v>8.4574265746382231</c:v>
                </c:pt>
                <c:pt idx="500">
                  <c:v>8.4572670358816513</c:v>
                </c:pt>
                <c:pt idx="501">
                  <c:v>8.4570507480800234</c:v>
                </c:pt>
                <c:pt idx="502">
                  <c:v>8.4567542670095524</c:v>
                </c:pt>
                <c:pt idx="503">
                  <c:v>8.4563429908713204</c:v>
                </c:pt>
                <c:pt idx="504">
                  <c:v>8.4557650888613409</c:v>
                </c:pt>
                <c:pt idx="505">
                  <c:v>8.4549416791483338</c:v>
                </c:pt>
                <c:pt idx="506">
                  <c:v>8.4537506448982871</c:v>
                </c:pt>
                <c:pt idx="507">
                  <c:v>8.4523267112654423</c:v>
                </c:pt>
                <c:pt idx="508">
                  <c:v>8.4496849265355287</c:v>
                </c:pt>
                <c:pt idx="509">
                  <c:v>8.4459735660018165</c:v>
                </c:pt>
                <c:pt idx="510">
                  <c:v>8.4399896153797052</c:v>
                </c:pt>
                <c:pt idx="511">
                  <c:v>8.4306570604355464</c:v>
                </c:pt>
                <c:pt idx="512">
                  <c:v>8.4153057655972709</c:v>
                </c:pt>
                <c:pt idx="513">
                  <c:v>8.3899081378460547</c:v>
                </c:pt>
                <c:pt idx="514">
                  <c:v>8.3462251613281033</c:v>
                </c:pt>
                <c:pt idx="515">
                  <c:v>8.2702498688541937</c:v>
                </c:pt>
                <c:pt idx="516">
                  <c:v>8.1331977308936292</c:v>
                </c:pt>
                <c:pt idx="517">
                  <c:v>7.8853655949008363</c:v>
                </c:pt>
                <c:pt idx="518">
                  <c:v>7.4148227013463952</c:v>
                </c:pt>
                <c:pt idx="519">
                  <c:v>7.3226511825782241</c:v>
                </c:pt>
                <c:pt idx="520">
                  <c:v>7.3226511825782232</c:v>
                </c:pt>
                <c:pt idx="521">
                  <c:v>6.1796511825782234</c:v>
                </c:pt>
                <c:pt idx="522">
                  <c:v>6.1796511825782234</c:v>
                </c:pt>
                <c:pt idx="523">
                  <c:v>6.1796501825782233</c:v>
                </c:pt>
                <c:pt idx="524">
                  <c:v>6.1796491825782232</c:v>
                </c:pt>
                <c:pt idx="525">
                  <c:v>6.179648182578223</c:v>
                </c:pt>
                <c:pt idx="526">
                  <c:v>6.1796471825782238</c:v>
                </c:pt>
                <c:pt idx="527">
                  <c:v>6.1796461825782236</c:v>
                </c:pt>
                <c:pt idx="528">
                  <c:v>6.1796451825782235</c:v>
                </c:pt>
                <c:pt idx="529">
                  <c:v>6.1796441825782233</c:v>
                </c:pt>
                <c:pt idx="530">
                  <c:v>6.1796430324456129</c:v>
                </c:pt>
                <c:pt idx="531">
                  <c:v>6.1796416576537307</c:v>
                </c:pt>
                <c:pt idx="532">
                  <c:v>6.1796400152741624</c:v>
                </c:pt>
                <c:pt idx="533">
                  <c:v>6.1796380455543112</c:v>
                </c:pt>
                <c:pt idx="534">
                  <c:v>6.179635674814973</c:v>
                </c:pt>
                <c:pt idx="535">
                  <c:v>6.179632810609391</c:v>
                </c:pt>
                <c:pt idx="536">
                  <c:v>6.1796293365590476</c:v>
                </c:pt>
                <c:pt idx="537">
                  <c:v>6.1796251054101798</c:v>
                </c:pt>
                <c:pt idx="538">
                  <c:v>6.1796199298810723</c:v>
                </c:pt>
                <c:pt idx="539">
                  <c:v>6.179613570488157</c:v>
                </c:pt>
                <c:pt idx="540">
                  <c:v>6.1796057192519109</c:v>
                </c:pt>
                <c:pt idx="541">
                  <c:v>6.1795959777363656</c:v>
                </c:pt>
                <c:pt idx="542">
                  <c:v>6.1795838272365451</c:v>
                </c:pt>
                <c:pt idx="543">
                  <c:v>6.1795685879961662</c:v>
                </c:pt>
                <c:pt idx="544">
                  <c:v>6.1795493629691096</c:v>
                </c:pt>
                <c:pt idx="545">
                  <c:v>6.1795249596066721</c:v>
                </c:pt>
                <c:pt idx="546">
                  <c:v>6.1794937801074132</c:v>
                </c:pt>
                <c:pt idx="547">
                  <c:v>6.1794536659507635</c:v>
                </c:pt>
                <c:pt idx="548">
                  <c:v>6.1794016754601779</c:v>
                </c:pt>
                <c:pt idx="549">
                  <c:v>6.1793337621626261</c:v>
                </c:pt>
                <c:pt idx="550">
                  <c:v>6.1792443044588667</c:v>
                </c:pt>
                <c:pt idx="551">
                  <c:v>6.1791254096387647</c:v>
                </c:pt>
                <c:pt idx="552">
                  <c:v>6.1789658708821937</c:v>
                </c:pt>
                <c:pt idx="553">
                  <c:v>6.178749583080565</c:v>
                </c:pt>
                <c:pt idx="554">
                  <c:v>6.1784531020100939</c:v>
                </c:pt>
                <c:pt idx="555">
                  <c:v>6.1780418258718619</c:v>
                </c:pt>
                <c:pt idx="556">
                  <c:v>6.1774639238618816</c:v>
                </c:pt>
                <c:pt idx="557">
                  <c:v>6.1766405141488754</c:v>
                </c:pt>
                <c:pt idx="558">
                  <c:v>6.1754494798988295</c:v>
                </c:pt>
                <c:pt idx="559">
                  <c:v>6.174025546265983</c:v>
                </c:pt>
                <c:pt idx="560">
                  <c:v>6.1713837615360703</c:v>
                </c:pt>
                <c:pt idx="561">
                  <c:v>6.1676724010023589</c:v>
                </c:pt>
                <c:pt idx="562">
                  <c:v>6.1616884503802458</c:v>
                </c:pt>
                <c:pt idx="563">
                  <c:v>6.1523558954360889</c:v>
                </c:pt>
                <c:pt idx="564">
                  <c:v>6.1370046005978134</c:v>
                </c:pt>
                <c:pt idx="565">
                  <c:v>6.1116069728465963</c:v>
                </c:pt>
                <c:pt idx="566">
                  <c:v>6.0679239963286449</c:v>
                </c:pt>
                <c:pt idx="567">
                  <c:v>5.9919487038547361</c:v>
                </c:pt>
                <c:pt idx="568">
                  <c:v>5.8548965658941707</c:v>
                </c:pt>
                <c:pt idx="569">
                  <c:v>5.6070644299013779</c:v>
                </c:pt>
                <c:pt idx="570">
                  <c:v>5.1365215363469368</c:v>
                </c:pt>
                <c:pt idx="571">
                  <c:v>5.0443500175787657</c:v>
                </c:pt>
                <c:pt idx="572">
                  <c:v>5.0443500175787683</c:v>
                </c:pt>
                <c:pt idx="573">
                  <c:v>3.9013500175787685</c:v>
                </c:pt>
                <c:pt idx="574">
                  <c:v>3.9013500175787685</c:v>
                </c:pt>
                <c:pt idx="575">
                  <c:v>3.9013490175787684</c:v>
                </c:pt>
                <c:pt idx="576">
                  <c:v>3.9013480175787683</c:v>
                </c:pt>
                <c:pt idx="577">
                  <c:v>3.9013470175787686</c:v>
                </c:pt>
                <c:pt idx="578">
                  <c:v>3.9013460175787689</c:v>
                </c:pt>
                <c:pt idx="579">
                  <c:v>3.9013450175787687</c:v>
                </c:pt>
                <c:pt idx="580">
                  <c:v>3.9013440175787686</c:v>
                </c:pt>
                <c:pt idx="581">
                  <c:v>3.9013430175787684</c:v>
                </c:pt>
                <c:pt idx="582">
                  <c:v>3.901341867446158</c:v>
                </c:pt>
                <c:pt idx="583">
                  <c:v>3.9013404926542758</c:v>
                </c:pt>
                <c:pt idx="584">
                  <c:v>3.9013388502747075</c:v>
                </c:pt>
                <c:pt idx="585">
                  <c:v>3.9013368805548563</c:v>
                </c:pt>
                <c:pt idx="586">
                  <c:v>3.9013345098155181</c:v>
                </c:pt>
                <c:pt idx="587">
                  <c:v>3.9013316456099365</c:v>
                </c:pt>
                <c:pt idx="588">
                  <c:v>3.9013281715595927</c:v>
                </c:pt>
                <c:pt idx="589">
                  <c:v>3.9013239404107245</c:v>
                </c:pt>
                <c:pt idx="590">
                  <c:v>3.9013187648816174</c:v>
                </c:pt>
                <c:pt idx="591">
                  <c:v>3.9013124054887021</c:v>
                </c:pt>
                <c:pt idx="592">
                  <c:v>3.901304554252456</c:v>
                </c:pt>
                <c:pt idx="593">
                  <c:v>3.9012948127369107</c:v>
                </c:pt>
                <c:pt idx="594">
                  <c:v>3.9012826622370902</c:v>
                </c:pt>
                <c:pt idx="595">
                  <c:v>3.9012674229967113</c:v>
                </c:pt>
                <c:pt idx="596">
                  <c:v>3.9012481979696547</c:v>
                </c:pt>
                <c:pt idx="597">
                  <c:v>3.9012237946072172</c:v>
                </c:pt>
                <c:pt idx="598">
                  <c:v>3.9011926151079583</c:v>
                </c:pt>
                <c:pt idx="599">
                  <c:v>3.9011525009513082</c:v>
                </c:pt>
                <c:pt idx="600">
                  <c:v>3.901100510460723</c:v>
                </c:pt>
                <c:pt idx="601">
                  <c:v>3.9010325971631707</c:v>
                </c:pt>
                <c:pt idx="602">
                  <c:v>3.9009431394594118</c:v>
                </c:pt>
                <c:pt idx="603">
                  <c:v>3.9008242446393098</c:v>
                </c:pt>
                <c:pt idx="604">
                  <c:v>3.9006647058827388</c:v>
                </c:pt>
                <c:pt idx="605">
                  <c:v>3.9004484180811101</c:v>
                </c:pt>
                <c:pt idx="606">
                  <c:v>3.9001519370106386</c:v>
                </c:pt>
                <c:pt idx="607">
                  <c:v>3.899740660872407</c:v>
                </c:pt>
                <c:pt idx="608">
                  <c:v>3.8991627588624267</c:v>
                </c:pt>
                <c:pt idx="609">
                  <c:v>3.89833934914942</c:v>
                </c:pt>
                <c:pt idx="610">
                  <c:v>3.8971483148993746</c:v>
                </c:pt>
                <c:pt idx="611">
                  <c:v>3.8957243812665281</c:v>
                </c:pt>
                <c:pt idx="612">
                  <c:v>3.8930825965366154</c:v>
                </c:pt>
                <c:pt idx="613">
                  <c:v>3.889371236002904</c:v>
                </c:pt>
                <c:pt idx="614">
                  <c:v>3.8833872853807909</c:v>
                </c:pt>
                <c:pt idx="615">
                  <c:v>3.874054730436634</c:v>
                </c:pt>
                <c:pt idx="616">
                  <c:v>3.8587034355983585</c:v>
                </c:pt>
                <c:pt idx="617">
                  <c:v>3.8333058078471414</c:v>
                </c:pt>
                <c:pt idx="618">
                  <c:v>3.78962283132919</c:v>
                </c:pt>
                <c:pt idx="619">
                  <c:v>3.7136475388552812</c:v>
                </c:pt>
                <c:pt idx="620">
                  <c:v>3.5765954008947154</c:v>
                </c:pt>
                <c:pt idx="621">
                  <c:v>3.328763264901923</c:v>
                </c:pt>
                <c:pt idx="622">
                  <c:v>2.8582203713474819</c:v>
                </c:pt>
                <c:pt idx="623">
                  <c:v>2.7660488525793108</c:v>
                </c:pt>
                <c:pt idx="624">
                  <c:v>2.7660488525793099</c:v>
                </c:pt>
                <c:pt idx="625">
                  <c:v>1.6230488525793101</c:v>
                </c:pt>
                <c:pt idx="626">
                  <c:v>1.6230488525793101</c:v>
                </c:pt>
                <c:pt idx="627">
                  <c:v>1.6230478525793102</c:v>
                </c:pt>
                <c:pt idx="628">
                  <c:v>1.62304685257931</c:v>
                </c:pt>
                <c:pt idx="629">
                  <c:v>1.6230458525793101</c:v>
                </c:pt>
                <c:pt idx="630">
                  <c:v>1.6230448525793102</c:v>
                </c:pt>
                <c:pt idx="631">
                  <c:v>1.6230438525793101</c:v>
                </c:pt>
                <c:pt idx="632">
                  <c:v>1.6230428525793101</c:v>
                </c:pt>
                <c:pt idx="633">
                  <c:v>1.62304185257931</c:v>
                </c:pt>
                <c:pt idx="634">
                  <c:v>1.6230407024466997</c:v>
                </c:pt>
                <c:pt idx="635">
                  <c:v>1.6230393276548176</c:v>
                </c:pt>
                <c:pt idx="636">
                  <c:v>1.6230376852752493</c:v>
                </c:pt>
                <c:pt idx="637">
                  <c:v>1.6230357155553978</c:v>
                </c:pt>
                <c:pt idx="638">
                  <c:v>1.6230333448160594</c:v>
                </c:pt>
                <c:pt idx="639">
                  <c:v>1.6230304806104781</c:v>
                </c:pt>
                <c:pt idx="640">
                  <c:v>1.6230270065601342</c:v>
                </c:pt>
                <c:pt idx="641">
                  <c:v>1.623022775411266</c:v>
                </c:pt>
                <c:pt idx="642">
                  <c:v>1.623017599882159</c:v>
                </c:pt>
                <c:pt idx="643">
                  <c:v>1.6230112404892434</c:v>
                </c:pt>
                <c:pt idx="644">
                  <c:v>1.6230033892529974</c:v>
                </c:pt>
                <c:pt idx="645">
                  <c:v>1.622993647737452</c:v>
                </c:pt>
                <c:pt idx="646">
                  <c:v>1.622981497237632</c:v>
                </c:pt>
                <c:pt idx="647">
                  <c:v>1.622966257997253</c:v>
                </c:pt>
                <c:pt idx="648">
                  <c:v>1.622947032970196</c:v>
                </c:pt>
                <c:pt idx="649">
                  <c:v>1.622922629607759</c:v>
                </c:pt>
                <c:pt idx="650">
                  <c:v>1.6228914501085001</c:v>
                </c:pt>
                <c:pt idx="651">
                  <c:v>1.6228513359518497</c:v>
                </c:pt>
                <c:pt idx="652">
                  <c:v>1.6227993454612648</c:v>
                </c:pt>
                <c:pt idx="653">
                  <c:v>1.6227314321637123</c:v>
                </c:pt>
                <c:pt idx="654">
                  <c:v>1.6226419744599536</c:v>
                </c:pt>
                <c:pt idx="655">
                  <c:v>1.6225230796398515</c:v>
                </c:pt>
                <c:pt idx="656">
                  <c:v>1.6223635408832802</c:v>
                </c:pt>
                <c:pt idx="657">
                  <c:v>1.6221472530816519</c:v>
                </c:pt>
                <c:pt idx="658">
                  <c:v>1.6218507720111801</c:v>
                </c:pt>
                <c:pt idx="659">
                  <c:v>1.6214394958729486</c:v>
                </c:pt>
                <c:pt idx="660">
                  <c:v>1.6208615938629685</c:v>
                </c:pt>
                <c:pt idx="661">
                  <c:v>1.6200381841499616</c:v>
                </c:pt>
                <c:pt idx="662">
                  <c:v>1.618847149899916</c:v>
                </c:pt>
                <c:pt idx="663">
                  <c:v>1.6174232162670699</c:v>
                </c:pt>
                <c:pt idx="664">
                  <c:v>1.6147814315371569</c:v>
                </c:pt>
                <c:pt idx="665">
                  <c:v>1.6110700710034453</c:v>
                </c:pt>
                <c:pt idx="666">
                  <c:v>1.6050861203813325</c:v>
                </c:pt>
                <c:pt idx="667">
                  <c:v>1.5957535654371753</c:v>
                </c:pt>
                <c:pt idx="668">
                  <c:v>1.5804022705989</c:v>
                </c:pt>
                <c:pt idx="669">
                  <c:v>1.5550046428476829</c:v>
                </c:pt>
                <c:pt idx="670">
                  <c:v>1.5113216663297317</c:v>
                </c:pt>
                <c:pt idx="671">
                  <c:v>1.4353463738558225</c:v>
                </c:pt>
                <c:pt idx="672">
                  <c:v>1.2982942358952569</c:v>
                </c:pt>
                <c:pt idx="673">
                  <c:v>1.0504620999024648</c:v>
                </c:pt>
                <c:pt idx="674">
                  <c:v>0.57991920634802341</c:v>
                </c:pt>
                <c:pt idx="675">
                  <c:v>0.48774768757985232</c:v>
                </c:pt>
              </c:numCache>
            </c:numRef>
          </c:xVal>
          <c:yVal>
            <c:numRef>
              <c:f>V_SG_1_V_SL_1!$AB$56:$AB$731</c:f>
              <c:numCache>
                <c:formatCode>General</c:formatCode>
                <c:ptCount val="676"/>
                <c:pt idx="0">
                  <c:v>0.98291280402450532</c:v>
                </c:pt>
                <c:pt idx="1">
                  <c:v>0.98291280402450532</c:v>
                </c:pt>
                <c:pt idx="2">
                  <c:v>0.93029680368287238</c:v>
                </c:pt>
                <c:pt idx="3">
                  <c:v>0.9263375056609463</c:v>
                </c:pt>
                <c:pt idx="4">
                  <c:v>0.92410350289481191</c:v>
                </c:pt>
                <c:pt idx="5">
                  <c:v>0.92246702056568797</c:v>
                </c:pt>
                <c:pt idx="6">
                  <c:v>0.92112545075286889</c:v>
                </c:pt>
                <c:pt idx="7">
                  <c:v>0.91996796940552472</c:v>
                </c:pt>
                <c:pt idx="8">
                  <c:v>0.91893925200966098</c:v>
                </c:pt>
                <c:pt idx="9">
                  <c:v>0.91800698533963754</c:v>
                </c:pt>
                <c:pt idx="10">
                  <c:v>0.91702734816235443</c:v>
                </c:pt>
                <c:pt idx="11">
                  <c:v>0.9159585801938982</c:v>
                </c:pt>
                <c:pt idx="12">
                  <c:v>0.91479625559011313</c:v>
                </c:pt>
                <c:pt idx="13">
                  <c:v>0.91353048339815646</c:v>
                </c:pt>
                <c:pt idx="14">
                  <c:v>0.91215088532597044</c:v>
                </c:pt>
                <c:pt idx="15">
                  <c:v>0.91064585001688003</c:v>
                </c:pt>
                <c:pt idx="16">
                  <c:v>0.90900246739993606</c:v>
                </c:pt>
                <c:pt idx="17">
                  <c:v>0.90720635607175415</c:v>
                </c:pt>
                <c:pt idx="18">
                  <c:v>0.90524147856173309</c:v>
                </c:pt>
                <c:pt idx="19">
                  <c:v>0.90308992791247966</c:v>
                </c:pt>
                <c:pt idx="20">
                  <c:v>0.90073168239924084</c:v>
                </c:pt>
                <c:pt idx="21">
                  <c:v>0.89814432232808461</c:v>
                </c:pt>
                <c:pt idx="22">
                  <c:v>0.89530270197348261</c:v>
                </c:pt>
                <c:pt idx="23">
                  <c:v>0.89217856822269714</c:v>
                </c:pt>
                <c:pt idx="24">
                  <c:v>0.88874011591112845</c:v>
                </c:pt>
                <c:pt idx="25">
                  <c:v>0.88495146788830703</c:v>
                </c:pt>
                <c:pt idx="26">
                  <c:v>0.88077206574924116</c:v>
                </c:pt>
                <c:pt idx="27">
                  <c:v>0.87615595477184927</c:v>
                </c:pt>
                <c:pt idx="28">
                  <c:v>0.87105094411999118</c:v>
                </c:pt>
                <c:pt idx="29">
                  <c:v>0.86539762083250626</c:v>
                </c:pt>
                <c:pt idx="30">
                  <c:v>0.8591281939956712</c:v>
                </c:pt>
                <c:pt idx="31">
                  <c:v>0.85216514411116695</c:v>
                </c:pt>
                <c:pt idx="32">
                  <c:v>0.84441965326912749</c:v>
                </c:pt>
                <c:pt idx="33">
                  <c:v>0.8357897958054098</c:v>
                </c:pt>
                <c:pt idx="34">
                  <c:v>0.82615847988380908</c:v>
                </c:pt>
                <c:pt idx="35">
                  <c:v>0.8153911530387663</c:v>
                </c:pt>
                <c:pt idx="36">
                  <c:v>0.80333332837909754</c:v>
                </c:pt>
                <c:pt idx="37">
                  <c:v>0.78980806865897468</c:v>
                </c:pt>
                <c:pt idx="38">
                  <c:v>0.77461508690290759</c:v>
                </c:pt>
                <c:pt idx="39">
                  <c:v>0.76038690457725777</c:v>
                </c:pt>
                <c:pt idx="40">
                  <c:v>0.74027333028292353</c:v>
                </c:pt>
                <c:pt idx="41">
                  <c:v>0.71945185286861368</c:v>
                </c:pt>
                <c:pt idx="42">
                  <c:v>0.69510299977692602</c:v>
                </c:pt>
                <c:pt idx="43">
                  <c:v>0.66827742889075359</c:v>
                </c:pt>
                <c:pt idx="44">
                  <c:v>0.63793671515432082</c:v>
                </c:pt>
                <c:pt idx="45">
                  <c:v>0.60451895949480172</c:v>
                </c:pt>
                <c:pt idx="46">
                  <c:v>0.56764407327826527</c:v>
                </c:pt>
                <c:pt idx="47">
                  <c:v>0.52819919103708846</c:v>
                </c:pt>
                <c:pt idx="48">
                  <c:v>0.48656332837244431</c:v>
                </c:pt>
                <c:pt idx="49">
                  <c:v>0.44490630075061705</c:v>
                </c:pt>
                <c:pt idx="50">
                  <c:v>0.40422770455153728</c:v>
                </c:pt>
                <c:pt idx="51">
                  <c:v>0.3988654244970895</c:v>
                </c:pt>
                <c:pt idx="52">
                  <c:v>0.98291280402450532</c:v>
                </c:pt>
                <c:pt idx="53">
                  <c:v>0.98291280402450532</c:v>
                </c:pt>
                <c:pt idx="54">
                  <c:v>0.93029680368287238</c:v>
                </c:pt>
                <c:pt idx="55">
                  <c:v>0.9263375056609463</c:v>
                </c:pt>
                <c:pt idx="56">
                  <c:v>0.92410350289481191</c:v>
                </c:pt>
                <c:pt idx="57">
                  <c:v>0.92246702056568797</c:v>
                </c:pt>
                <c:pt idx="58">
                  <c:v>0.92112545075286889</c:v>
                </c:pt>
                <c:pt idx="59">
                  <c:v>0.91996796940552472</c:v>
                </c:pt>
                <c:pt idx="60">
                  <c:v>0.91893925200966098</c:v>
                </c:pt>
                <c:pt idx="61">
                  <c:v>0.91800698533963754</c:v>
                </c:pt>
                <c:pt idx="62">
                  <c:v>0.91702734816235443</c:v>
                </c:pt>
                <c:pt idx="63">
                  <c:v>0.9159585801938982</c:v>
                </c:pt>
                <c:pt idx="64">
                  <c:v>0.91479625559011313</c:v>
                </c:pt>
                <c:pt idx="65">
                  <c:v>0.91353048339815646</c:v>
                </c:pt>
                <c:pt idx="66">
                  <c:v>0.91215088532597044</c:v>
                </c:pt>
                <c:pt idx="67">
                  <c:v>0.91064585001688003</c:v>
                </c:pt>
                <c:pt idx="68">
                  <c:v>0.90900246739993606</c:v>
                </c:pt>
                <c:pt idx="69">
                  <c:v>0.90720635607175415</c:v>
                </c:pt>
                <c:pt idx="70">
                  <c:v>0.90524147856173309</c:v>
                </c:pt>
                <c:pt idx="71">
                  <c:v>0.90308992791247966</c:v>
                </c:pt>
                <c:pt idx="72">
                  <c:v>0.90073168239924084</c:v>
                </c:pt>
                <c:pt idx="73">
                  <c:v>0.89814432232808461</c:v>
                </c:pt>
                <c:pt idx="74">
                  <c:v>0.89530270197348261</c:v>
                </c:pt>
                <c:pt idx="75">
                  <c:v>0.89217856822269714</c:v>
                </c:pt>
                <c:pt idx="76">
                  <c:v>0.88874011591112845</c:v>
                </c:pt>
                <c:pt idx="77">
                  <c:v>0.88495146788830703</c:v>
                </c:pt>
                <c:pt idx="78">
                  <c:v>0.88077206574924116</c:v>
                </c:pt>
                <c:pt idx="79">
                  <c:v>0.87615595477184927</c:v>
                </c:pt>
                <c:pt idx="80">
                  <c:v>0.87105094411999118</c:v>
                </c:pt>
                <c:pt idx="81">
                  <c:v>0.86539762083250626</c:v>
                </c:pt>
                <c:pt idx="82">
                  <c:v>0.8591281939956712</c:v>
                </c:pt>
                <c:pt idx="83">
                  <c:v>0.85216514411116695</c:v>
                </c:pt>
                <c:pt idx="84">
                  <c:v>0.84441965326912749</c:v>
                </c:pt>
                <c:pt idx="85">
                  <c:v>0.8357897958054098</c:v>
                </c:pt>
                <c:pt idx="86">
                  <c:v>0.82615847988380908</c:v>
                </c:pt>
                <c:pt idx="87">
                  <c:v>0.8153911530387663</c:v>
                </c:pt>
                <c:pt idx="88">
                  <c:v>0.80333332837909754</c:v>
                </c:pt>
                <c:pt idx="89">
                  <c:v>0.78980806865897468</c:v>
                </c:pt>
                <c:pt idx="90">
                  <c:v>0.77461508690290759</c:v>
                </c:pt>
                <c:pt idx="91">
                  <c:v>0.76038690457725777</c:v>
                </c:pt>
                <c:pt idx="92">
                  <c:v>0.74027333028292353</c:v>
                </c:pt>
                <c:pt idx="93">
                  <c:v>0.71945185286861368</c:v>
                </c:pt>
                <c:pt idx="94">
                  <c:v>0.69510299977692602</c:v>
                </c:pt>
                <c:pt idx="95">
                  <c:v>0.66827742889075359</c:v>
                </c:pt>
                <c:pt idx="96">
                  <c:v>0.63793671515432082</c:v>
                </c:pt>
                <c:pt idx="97">
                  <c:v>0.60451895949480172</c:v>
                </c:pt>
                <c:pt idx="98">
                  <c:v>0.56764407327826527</c:v>
                </c:pt>
                <c:pt idx="99">
                  <c:v>0.52819919103708846</c:v>
                </c:pt>
                <c:pt idx="100">
                  <c:v>0.48656332837244431</c:v>
                </c:pt>
                <c:pt idx="101">
                  <c:v>0.44490630075061705</c:v>
                </c:pt>
                <c:pt idx="102">
                  <c:v>0.40422770455153728</c:v>
                </c:pt>
                <c:pt idx="103">
                  <c:v>0.3988654244970895</c:v>
                </c:pt>
                <c:pt idx="104">
                  <c:v>0.98291280402450532</c:v>
                </c:pt>
                <c:pt idx="105">
                  <c:v>0.98291280402450532</c:v>
                </c:pt>
                <c:pt idx="106">
                  <c:v>0.93029680368287238</c:v>
                </c:pt>
                <c:pt idx="107">
                  <c:v>0.9263375056609463</c:v>
                </c:pt>
                <c:pt idx="108">
                  <c:v>0.92410350289481191</c:v>
                </c:pt>
                <c:pt idx="109">
                  <c:v>0.92246702056568797</c:v>
                </c:pt>
                <c:pt idx="110">
                  <c:v>0.92112545075286889</c:v>
                </c:pt>
                <c:pt idx="111">
                  <c:v>0.91996796940552472</c:v>
                </c:pt>
                <c:pt idx="112">
                  <c:v>0.91893925200966098</c:v>
                </c:pt>
                <c:pt idx="113">
                  <c:v>0.91800698533963754</c:v>
                </c:pt>
                <c:pt idx="114">
                  <c:v>0.91702734816235443</c:v>
                </c:pt>
                <c:pt idx="115">
                  <c:v>0.9159585801938982</c:v>
                </c:pt>
                <c:pt idx="116">
                  <c:v>0.91479625559011313</c:v>
                </c:pt>
                <c:pt idx="117">
                  <c:v>0.91353048339815646</c:v>
                </c:pt>
                <c:pt idx="118">
                  <c:v>0.91215088532597044</c:v>
                </c:pt>
                <c:pt idx="119">
                  <c:v>0.91064585001688003</c:v>
                </c:pt>
                <c:pt idx="120">
                  <c:v>0.90900246739993606</c:v>
                </c:pt>
                <c:pt idx="121">
                  <c:v>0.90720635607175415</c:v>
                </c:pt>
                <c:pt idx="122">
                  <c:v>0.90524147856173309</c:v>
                </c:pt>
                <c:pt idx="123">
                  <c:v>0.90308992791247966</c:v>
                </c:pt>
                <c:pt idx="124">
                  <c:v>0.90073168239924084</c:v>
                </c:pt>
                <c:pt idx="125">
                  <c:v>0.89814432232808461</c:v>
                </c:pt>
                <c:pt idx="126">
                  <c:v>0.89530270197348261</c:v>
                </c:pt>
                <c:pt idx="127">
                  <c:v>0.89217856822269714</c:v>
                </c:pt>
                <c:pt idx="128">
                  <c:v>0.88874011591112845</c:v>
                </c:pt>
                <c:pt idx="129">
                  <c:v>0.88495146788830703</c:v>
                </c:pt>
                <c:pt idx="130">
                  <c:v>0.88077206574924116</c:v>
                </c:pt>
                <c:pt idx="131">
                  <c:v>0.87615595477184927</c:v>
                </c:pt>
                <c:pt idx="132">
                  <c:v>0.87105094411999118</c:v>
                </c:pt>
                <c:pt idx="133">
                  <c:v>0.86539762083250626</c:v>
                </c:pt>
                <c:pt idx="134">
                  <c:v>0.8591281939956712</c:v>
                </c:pt>
                <c:pt idx="135">
                  <c:v>0.85216514411116695</c:v>
                </c:pt>
                <c:pt idx="136">
                  <c:v>0.84441965326912749</c:v>
                </c:pt>
                <c:pt idx="137">
                  <c:v>0.8357897958054098</c:v>
                </c:pt>
                <c:pt idx="138">
                  <c:v>0.82615847988380908</c:v>
                </c:pt>
                <c:pt idx="139">
                  <c:v>0.8153911530387663</c:v>
                </c:pt>
                <c:pt idx="140">
                  <c:v>0.80333332837909754</c:v>
                </c:pt>
                <c:pt idx="141">
                  <c:v>0.78980806865897468</c:v>
                </c:pt>
                <c:pt idx="142">
                  <c:v>0.77461508690290759</c:v>
                </c:pt>
                <c:pt idx="143">
                  <c:v>0.76038690457725777</c:v>
                </c:pt>
                <c:pt idx="144">
                  <c:v>0.74027333028292353</c:v>
                </c:pt>
                <c:pt idx="145">
                  <c:v>0.71945185286861368</c:v>
                </c:pt>
                <c:pt idx="146">
                  <c:v>0.69510299977692602</c:v>
                </c:pt>
                <c:pt idx="147">
                  <c:v>0.66827742889075359</c:v>
                </c:pt>
                <c:pt idx="148">
                  <c:v>0.63793671515432082</c:v>
                </c:pt>
                <c:pt idx="149">
                  <c:v>0.60451895949480172</c:v>
                </c:pt>
                <c:pt idx="150">
                  <c:v>0.56764407327826527</c:v>
                </c:pt>
                <c:pt idx="151">
                  <c:v>0.52819919103708846</c:v>
                </c:pt>
                <c:pt idx="152">
                  <c:v>0.48656332837244431</c:v>
                </c:pt>
                <c:pt idx="153">
                  <c:v>0.44490630075061705</c:v>
                </c:pt>
                <c:pt idx="154">
                  <c:v>0.40422770455153728</c:v>
                </c:pt>
                <c:pt idx="155">
                  <c:v>0.3988654244970895</c:v>
                </c:pt>
                <c:pt idx="156">
                  <c:v>0.98291280402450532</c:v>
                </c:pt>
                <c:pt idx="157">
                  <c:v>0.98291280402450532</c:v>
                </c:pt>
                <c:pt idx="158">
                  <c:v>0.93029680368287238</c:v>
                </c:pt>
                <c:pt idx="159">
                  <c:v>0.9263375056609463</c:v>
                </c:pt>
                <c:pt idx="160">
                  <c:v>0.92410350289481191</c:v>
                </c:pt>
                <c:pt idx="161">
                  <c:v>0.92246702056568797</c:v>
                </c:pt>
                <c:pt idx="162">
                  <c:v>0.92112545075286889</c:v>
                </c:pt>
                <c:pt idx="163">
                  <c:v>0.91996796940552472</c:v>
                </c:pt>
                <c:pt idx="164">
                  <c:v>0.91893925200966098</c:v>
                </c:pt>
                <c:pt idx="165">
                  <c:v>0.91800698533963754</c:v>
                </c:pt>
                <c:pt idx="166">
                  <c:v>0.91702734816235443</c:v>
                </c:pt>
                <c:pt idx="167">
                  <c:v>0.9159585801938982</c:v>
                </c:pt>
                <c:pt idx="168">
                  <c:v>0.91479625559011313</c:v>
                </c:pt>
                <c:pt idx="169">
                  <c:v>0.91353048339815646</c:v>
                </c:pt>
                <c:pt idx="170">
                  <c:v>0.91215088532597044</c:v>
                </c:pt>
                <c:pt idx="171">
                  <c:v>0.91064585001688003</c:v>
                </c:pt>
                <c:pt idx="172">
                  <c:v>0.90900246739993606</c:v>
                </c:pt>
                <c:pt idx="173">
                  <c:v>0.90720635607175415</c:v>
                </c:pt>
                <c:pt idx="174">
                  <c:v>0.90524147856173309</c:v>
                </c:pt>
                <c:pt idx="175">
                  <c:v>0.90308992791247966</c:v>
                </c:pt>
                <c:pt idx="176">
                  <c:v>0.90073168239924084</c:v>
                </c:pt>
                <c:pt idx="177">
                  <c:v>0.89814432232808461</c:v>
                </c:pt>
                <c:pt idx="178">
                  <c:v>0.89530270197348261</c:v>
                </c:pt>
                <c:pt idx="179">
                  <c:v>0.89217856822269714</c:v>
                </c:pt>
                <c:pt idx="180">
                  <c:v>0.88874011591112845</c:v>
                </c:pt>
                <c:pt idx="181">
                  <c:v>0.88495146788830703</c:v>
                </c:pt>
                <c:pt idx="182">
                  <c:v>0.88077206574924116</c:v>
                </c:pt>
                <c:pt idx="183">
                  <c:v>0.87615595477184927</c:v>
                </c:pt>
                <c:pt idx="184">
                  <c:v>0.87105094411999118</c:v>
                </c:pt>
                <c:pt idx="185">
                  <c:v>0.86539762083250626</c:v>
                </c:pt>
                <c:pt idx="186">
                  <c:v>0.8591281939956712</c:v>
                </c:pt>
                <c:pt idx="187">
                  <c:v>0.85216514411116695</c:v>
                </c:pt>
                <c:pt idx="188">
                  <c:v>0.84441965326912749</c:v>
                </c:pt>
                <c:pt idx="189">
                  <c:v>0.8357897958054098</c:v>
                </c:pt>
                <c:pt idx="190">
                  <c:v>0.82615847988380908</c:v>
                </c:pt>
                <c:pt idx="191">
                  <c:v>0.8153911530387663</c:v>
                </c:pt>
                <c:pt idx="192">
                  <c:v>0.80333332837909754</c:v>
                </c:pt>
                <c:pt idx="193">
                  <c:v>0.78980806865897468</c:v>
                </c:pt>
                <c:pt idx="194">
                  <c:v>0.77461508690290759</c:v>
                </c:pt>
                <c:pt idx="195">
                  <c:v>0.76038690457725777</c:v>
                </c:pt>
                <c:pt idx="196">
                  <c:v>0.74027333028292353</c:v>
                </c:pt>
                <c:pt idx="197">
                  <c:v>0.71945185286861368</c:v>
                </c:pt>
                <c:pt idx="198">
                  <c:v>0.69510299977692602</c:v>
                </c:pt>
                <c:pt idx="199">
                  <c:v>0.66827742889075359</c:v>
                </c:pt>
                <c:pt idx="200">
                  <c:v>0.63793671515432082</c:v>
                </c:pt>
                <c:pt idx="201">
                  <c:v>0.60451895949480172</c:v>
                </c:pt>
                <c:pt idx="202">
                  <c:v>0.56764407327826527</c:v>
                </c:pt>
                <c:pt idx="203">
                  <c:v>0.52819919103708846</c:v>
                </c:pt>
                <c:pt idx="204">
                  <c:v>0.48656332837244431</c:v>
                </c:pt>
                <c:pt idx="205">
                  <c:v>0.44490630075061705</c:v>
                </c:pt>
                <c:pt idx="206">
                  <c:v>0.40422770455153728</c:v>
                </c:pt>
                <c:pt idx="207">
                  <c:v>0.3988654244970895</c:v>
                </c:pt>
                <c:pt idx="208">
                  <c:v>0.98291280402450532</c:v>
                </c:pt>
                <c:pt idx="209">
                  <c:v>0.98291280402450532</c:v>
                </c:pt>
                <c:pt idx="210">
                  <c:v>0.93029680368287238</c:v>
                </c:pt>
                <c:pt idx="211">
                  <c:v>0.9263375056609463</c:v>
                </c:pt>
                <c:pt idx="212">
                  <c:v>0.92410350289481191</c:v>
                </c:pt>
                <c:pt idx="213">
                  <c:v>0.92246702056568797</c:v>
                </c:pt>
                <c:pt idx="214">
                  <c:v>0.92112545075286889</c:v>
                </c:pt>
                <c:pt idx="215">
                  <c:v>0.91996796940552472</c:v>
                </c:pt>
                <c:pt idx="216">
                  <c:v>0.91893925200966098</c:v>
                </c:pt>
                <c:pt idx="217">
                  <c:v>0.91800698533963754</c:v>
                </c:pt>
                <c:pt idx="218">
                  <c:v>0.91702734816235443</c:v>
                </c:pt>
                <c:pt idx="219">
                  <c:v>0.9159585801938982</c:v>
                </c:pt>
                <c:pt idx="220">
                  <c:v>0.91479625559011313</c:v>
                </c:pt>
                <c:pt idx="221">
                  <c:v>0.91353048339815646</c:v>
                </c:pt>
                <c:pt idx="222">
                  <c:v>0.91215088532597044</c:v>
                </c:pt>
                <c:pt idx="223">
                  <c:v>0.91064585001688003</c:v>
                </c:pt>
                <c:pt idx="224">
                  <c:v>0.90900246739993606</c:v>
                </c:pt>
                <c:pt idx="225">
                  <c:v>0.90720635607175415</c:v>
                </c:pt>
                <c:pt idx="226">
                  <c:v>0.90524147856173309</c:v>
                </c:pt>
                <c:pt idx="227">
                  <c:v>0.90308992791247966</c:v>
                </c:pt>
                <c:pt idx="228">
                  <c:v>0.90073168239924084</c:v>
                </c:pt>
                <c:pt idx="229">
                  <c:v>0.89814432232808461</c:v>
                </c:pt>
                <c:pt idx="230">
                  <c:v>0.89530270197348261</c:v>
                </c:pt>
                <c:pt idx="231">
                  <c:v>0.89217856822269714</c:v>
                </c:pt>
                <c:pt idx="232">
                  <c:v>0.88874011591112845</c:v>
                </c:pt>
                <c:pt idx="233">
                  <c:v>0.88495146788830703</c:v>
                </c:pt>
                <c:pt idx="234">
                  <c:v>0.88077206574924116</c:v>
                </c:pt>
                <c:pt idx="235">
                  <c:v>0.87615595477184927</c:v>
                </c:pt>
                <c:pt idx="236">
                  <c:v>0.87105094411999118</c:v>
                </c:pt>
                <c:pt idx="237">
                  <c:v>0.86539762083250626</c:v>
                </c:pt>
                <c:pt idx="238">
                  <c:v>0.8591281939956712</c:v>
                </c:pt>
                <c:pt idx="239">
                  <c:v>0.85216514411116695</c:v>
                </c:pt>
                <c:pt idx="240">
                  <c:v>0.84441965326912749</c:v>
                </c:pt>
                <c:pt idx="241">
                  <c:v>0.8357897958054098</c:v>
                </c:pt>
                <c:pt idx="242">
                  <c:v>0.82615847988380908</c:v>
                </c:pt>
                <c:pt idx="243">
                  <c:v>0.8153911530387663</c:v>
                </c:pt>
                <c:pt idx="244">
                  <c:v>0.80333332837909754</c:v>
                </c:pt>
                <c:pt idx="245">
                  <c:v>0.78980806865897468</c:v>
                </c:pt>
                <c:pt idx="246">
                  <c:v>0.77461508690290759</c:v>
                </c:pt>
                <c:pt idx="247">
                  <c:v>0.76038690457725777</c:v>
                </c:pt>
                <c:pt idx="248">
                  <c:v>0.74027333028292353</c:v>
                </c:pt>
                <c:pt idx="249">
                  <c:v>0.71945185286861368</c:v>
                </c:pt>
                <c:pt idx="250">
                  <c:v>0.69510299977692602</c:v>
                </c:pt>
                <c:pt idx="251">
                  <c:v>0.66827742889075359</c:v>
                </c:pt>
                <c:pt idx="252">
                  <c:v>0.63793671515432082</c:v>
                </c:pt>
                <c:pt idx="253">
                  <c:v>0.60451895949480172</c:v>
                </c:pt>
                <c:pt idx="254">
                  <c:v>0.56764407327826527</c:v>
                </c:pt>
                <c:pt idx="255">
                  <c:v>0.52819919103708846</c:v>
                </c:pt>
                <c:pt idx="256">
                  <c:v>0.48656332837244431</c:v>
                </c:pt>
                <c:pt idx="257">
                  <c:v>0.44490630075061705</c:v>
                </c:pt>
                <c:pt idx="258">
                  <c:v>0.40422770455153728</c:v>
                </c:pt>
                <c:pt idx="259">
                  <c:v>0.3988654244970895</c:v>
                </c:pt>
                <c:pt idx="260">
                  <c:v>0.98291280402450532</c:v>
                </c:pt>
                <c:pt idx="261">
                  <c:v>0.98291280402450532</c:v>
                </c:pt>
                <c:pt idx="262">
                  <c:v>0.93029680368287238</c:v>
                </c:pt>
                <c:pt idx="263">
                  <c:v>0.9263375056609463</c:v>
                </c:pt>
                <c:pt idx="264">
                  <c:v>0.92410350289481191</c:v>
                </c:pt>
                <c:pt idx="265">
                  <c:v>0.92246702056568797</c:v>
                </c:pt>
                <c:pt idx="266">
                  <c:v>0.92112545075286889</c:v>
                </c:pt>
                <c:pt idx="267">
                  <c:v>0.91996796940552472</c:v>
                </c:pt>
                <c:pt idx="268">
                  <c:v>0.91893925200966098</c:v>
                </c:pt>
                <c:pt idx="269">
                  <c:v>0.91800698533963754</c:v>
                </c:pt>
                <c:pt idx="270">
                  <c:v>0.91702734816235443</c:v>
                </c:pt>
                <c:pt idx="271">
                  <c:v>0.9159585801938982</c:v>
                </c:pt>
                <c:pt idx="272">
                  <c:v>0.91479625559011313</c:v>
                </c:pt>
                <c:pt idx="273">
                  <c:v>0.91353048339815646</c:v>
                </c:pt>
                <c:pt idx="274">
                  <c:v>0.91215088532597044</c:v>
                </c:pt>
                <c:pt idx="275">
                  <c:v>0.91064585001688003</c:v>
                </c:pt>
                <c:pt idx="276">
                  <c:v>0.90900246739993606</c:v>
                </c:pt>
                <c:pt idx="277">
                  <c:v>0.90720635607175415</c:v>
                </c:pt>
                <c:pt idx="278">
                  <c:v>0.90524147856173309</c:v>
                </c:pt>
                <c:pt idx="279">
                  <c:v>0.90308992791247966</c:v>
                </c:pt>
                <c:pt idx="280">
                  <c:v>0.90073168239924084</c:v>
                </c:pt>
                <c:pt idx="281">
                  <c:v>0.89814432232808461</c:v>
                </c:pt>
                <c:pt idx="282">
                  <c:v>0.89530270197348261</c:v>
                </c:pt>
                <c:pt idx="283">
                  <c:v>0.89217856822269714</c:v>
                </c:pt>
                <c:pt idx="284">
                  <c:v>0.88874011591112845</c:v>
                </c:pt>
                <c:pt idx="285">
                  <c:v>0.88495146788830703</c:v>
                </c:pt>
                <c:pt idx="286">
                  <c:v>0.88077206574924116</c:v>
                </c:pt>
                <c:pt idx="287">
                  <c:v>0.87615595477184927</c:v>
                </c:pt>
                <c:pt idx="288">
                  <c:v>0.87105094411999118</c:v>
                </c:pt>
                <c:pt idx="289">
                  <c:v>0.86539762083250626</c:v>
                </c:pt>
                <c:pt idx="290">
                  <c:v>0.8591281939956712</c:v>
                </c:pt>
                <c:pt idx="291">
                  <c:v>0.85216514411116695</c:v>
                </c:pt>
                <c:pt idx="292">
                  <c:v>0.84441965326912749</c:v>
                </c:pt>
                <c:pt idx="293">
                  <c:v>0.8357897958054098</c:v>
                </c:pt>
                <c:pt idx="294">
                  <c:v>0.82615847988380908</c:v>
                </c:pt>
                <c:pt idx="295">
                  <c:v>0.8153911530387663</c:v>
                </c:pt>
                <c:pt idx="296">
                  <c:v>0.80333332837909754</c:v>
                </c:pt>
                <c:pt idx="297">
                  <c:v>0.78980806865897468</c:v>
                </c:pt>
                <c:pt idx="298">
                  <c:v>0.77461508690290759</c:v>
                </c:pt>
                <c:pt idx="299">
                  <c:v>0.76038690457725777</c:v>
                </c:pt>
                <c:pt idx="300">
                  <c:v>0.74027333028292353</c:v>
                </c:pt>
                <c:pt idx="301">
                  <c:v>0.71945185286861368</c:v>
                </c:pt>
                <c:pt idx="302">
                  <c:v>0.69510299977692602</c:v>
                </c:pt>
                <c:pt idx="303">
                  <c:v>0.66827742889075359</c:v>
                </c:pt>
                <c:pt idx="304">
                  <c:v>0.63793671515432082</c:v>
                </c:pt>
                <c:pt idx="305">
                  <c:v>0.60451895949480172</c:v>
                </c:pt>
                <c:pt idx="306">
                  <c:v>0.56764407327826527</c:v>
                </c:pt>
                <c:pt idx="307">
                  <c:v>0.52819919103708846</c:v>
                </c:pt>
                <c:pt idx="308">
                  <c:v>0.48656332837244431</c:v>
                </c:pt>
                <c:pt idx="309">
                  <c:v>0.44490630075061705</c:v>
                </c:pt>
                <c:pt idx="310">
                  <c:v>0.40422770455153728</c:v>
                </c:pt>
                <c:pt idx="311">
                  <c:v>0.3988654244970895</c:v>
                </c:pt>
                <c:pt idx="312">
                  <c:v>0.98291280402450532</c:v>
                </c:pt>
                <c:pt idx="313">
                  <c:v>0.98291280402450532</c:v>
                </c:pt>
                <c:pt idx="314">
                  <c:v>0.93029680368287238</c:v>
                </c:pt>
                <c:pt idx="315">
                  <c:v>0.9263375056609463</c:v>
                </c:pt>
                <c:pt idx="316">
                  <c:v>0.92410350289481191</c:v>
                </c:pt>
                <c:pt idx="317">
                  <c:v>0.92246702056568797</c:v>
                </c:pt>
                <c:pt idx="318">
                  <c:v>0.92112545075286889</c:v>
                </c:pt>
                <c:pt idx="319">
                  <c:v>0.91996796940552472</c:v>
                </c:pt>
                <c:pt idx="320">
                  <c:v>0.91893925200966098</c:v>
                </c:pt>
                <c:pt idx="321">
                  <c:v>0.91800698533963754</c:v>
                </c:pt>
                <c:pt idx="322">
                  <c:v>0.91702734816235443</c:v>
                </c:pt>
                <c:pt idx="323">
                  <c:v>0.9159585801938982</c:v>
                </c:pt>
                <c:pt idx="324">
                  <c:v>0.91479625559011313</c:v>
                </c:pt>
                <c:pt idx="325">
                  <c:v>0.91353048339815646</c:v>
                </c:pt>
                <c:pt idx="326">
                  <c:v>0.91215088532597044</c:v>
                </c:pt>
                <c:pt idx="327">
                  <c:v>0.91064585001688003</c:v>
                </c:pt>
                <c:pt idx="328">
                  <c:v>0.90900246739993606</c:v>
                </c:pt>
                <c:pt idx="329">
                  <c:v>0.90720635607175415</c:v>
                </c:pt>
                <c:pt idx="330">
                  <c:v>0.90524147856173309</c:v>
                </c:pt>
                <c:pt idx="331">
                  <c:v>0.90308992791247966</c:v>
                </c:pt>
                <c:pt idx="332">
                  <c:v>0.90073168239924084</c:v>
                </c:pt>
                <c:pt idx="333">
                  <c:v>0.89814432232808461</c:v>
                </c:pt>
                <c:pt idx="334">
                  <c:v>0.89530270197348261</c:v>
                </c:pt>
                <c:pt idx="335">
                  <c:v>0.89217856822269714</c:v>
                </c:pt>
                <c:pt idx="336">
                  <c:v>0.88874011591112845</c:v>
                </c:pt>
                <c:pt idx="337">
                  <c:v>0.88495146788830703</c:v>
                </c:pt>
                <c:pt idx="338">
                  <c:v>0.88077206574924116</c:v>
                </c:pt>
                <c:pt idx="339">
                  <c:v>0.87615595477184927</c:v>
                </c:pt>
                <c:pt idx="340">
                  <c:v>0.87105094411999118</c:v>
                </c:pt>
                <c:pt idx="341">
                  <c:v>0.86539762083250626</c:v>
                </c:pt>
                <c:pt idx="342">
                  <c:v>0.8591281939956712</c:v>
                </c:pt>
                <c:pt idx="343">
                  <c:v>0.85216514411116695</c:v>
                </c:pt>
                <c:pt idx="344">
                  <c:v>0.84441965326912749</c:v>
                </c:pt>
                <c:pt idx="345">
                  <c:v>0.8357897958054098</c:v>
                </c:pt>
                <c:pt idx="346">
                  <c:v>0.82615847988380908</c:v>
                </c:pt>
                <c:pt idx="347">
                  <c:v>0.8153911530387663</c:v>
                </c:pt>
                <c:pt idx="348">
                  <c:v>0.80333332837909754</c:v>
                </c:pt>
                <c:pt idx="349">
                  <c:v>0.78980806865897468</c:v>
                </c:pt>
                <c:pt idx="350">
                  <c:v>0.77461508690290759</c:v>
                </c:pt>
                <c:pt idx="351">
                  <c:v>0.76038690457725777</c:v>
                </c:pt>
                <c:pt idx="352">
                  <c:v>0.74027333028292353</c:v>
                </c:pt>
                <c:pt idx="353">
                  <c:v>0.71945185286861368</c:v>
                </c:pt>
                <c:pt idx="354">
                  <c:v>0.69510299977692602</c:v>
                </c:pt>
                <c:pt idx="355">
                  <c:v>0.66827742889075359</c:v>
                </c:pt>
                <c:pt idx="356">
                  <c:v>0.63793671515432082</c:v>
                </c:pt>
                <c:pt idx="357">
                  <c:v>0.60451895949480172</c:v>
                </c:pt>
                <c:pt idx="358">
                  <c:v>0.56764407327826527</c:v>
                </c:pt>
                <c:pt idx="359">
                  <c:v>0.52819919103708846</c:v>
                </c:pt>
                <c:pt idx="360">
                  <c:v>0.48656332837244431</c:v>
                </c:pt>
                <c:pt idx="361">
                  <c:v>0.44490630075061705</c:v>
                </c:pt>
                <c:pt idx="362">
                  <c:v>0.40422770455153728</c:v>
                </c:pt>
                <c:pt idx="363">
                  <c:v>0.3988654244970895</c:v>
                </c:pt>
                <c:pt idx="364">
                  <c:v>0.98291280402450532</c:v>
                </c:pt>
                <c:pt idx="365">
                  <c:v>0.98291280402450532</c:v>
                </c:pt>
                <c:pt idx="366">
                  <c:v>0.93029680368287238</c:v>
                </c:pt>
                <c:pt idx="367">
                  <c:v>0.9263375056609463</c:v>
                </c:pt>
                <c:pt idx="368">
                  <c:v>0.92410350289481191</c:v>
                </c:pt>
                <c:pt idx="369">
                  <c:v>0.92246702056568797</c:v>
                </c:pt>
                <c:pt idx="370">
                  <c:v>0.92112545075286889</c:v>
                </c:pt>
                <c:pt idx="371">
                  <c:v>0.91996796940552472</c:v>
                </c:pt>
                <c:pt idx="372">
                  <c:v>0.91893925200966098</c:v>
                </c:pt>
                <c:pt idx="373">
                  <c:v>0.91800698533963754</c:v>
                </c:pt>
                <c:pt idx="374">
                  <c:v>0.91702734816235443</c:v>
                </c:pt>
                <c:pt idx="375">
                  <c:v>0.9159585801938982</c:v>
                </c:pt>
                <c:pt idx="376">
                  <c:v>0.91479625559011313</c:v>
                </c:pt>
                <c:pt idx="377">
                  <c:v>0.91353048339815646</c:v>
                </c:pt>
                <c:pt idx="378">
                  <c:v>0.91215088532597044</c:v>
                </c:pt>
                <c:pt idx="379">
                  <c:v>0.91064585001688003</c:v>
                </c:pt>
                <c:pt idx="380">
                  <c:v>0.90900246739993606</c:v>
                </c:pt>
                <c:pt idx="381">
                  <c:v>0.90720635607175415</c:v>
                </c:pt>
                <c:pt idx="382">
                  <c:v>0.90524147856173309</c:v>
                </c:pt>
                <c:pt idx="383">
                  <c:v>0.90308992791247966</c:v>
                </c:pt>
                <c:pt idx="384">
                  <c:v>0.90073168239924084</c:v>
                </c:pt>
                <c:pt idx="385">
                  <c:v>0.89814432232808461</c:v>
                </c:pt>
                <c:pt idx="386">
                  <c:v>0.89530270197348261</c:v>
                </c:pt>
                <c:pt idx="387">
                  <c:v>0.89217856822269714</c:v>
                </c:pt>
                <c:pt idx="388">
                  <c:v>0.88874011591112845</c:v>
                </c:pt>
                <c:pt idx="389">
                  <c:v>0.88495146788830703</c:v>
                </c:pt>
                <c:pt idx="390">
                  <c:v>0.88077206574924116</c:v>
                </c:pt>
                <c:pt idx="391">
                  <c:v>0.87615595477184927</c:v>
                </c:pt>
                <c:pt idx="392">
                  <c:v>0.87105094411999118</c:v>
                </c:pt>
                <c:pt idx="393">
                  <c:v>0.86539762083250626</c:v>
                </c:pt>
                <c:pt idx="394">
                  <c:v>0.8591281939956712</c:v>
                </c:pt>
                <c:pt idx="395">
                  <c:v>0.85216514411116695</c:v>
                </c:pt>
                <c:pt idx="396">
                  <c:v>0.84441965326912749</c:v>
                </c:pt>
                <c:pt idx="397">
                  <c:v>0.8357897958054098</c:v>
                </c:pt>
                <c:pt idx="398">
                  <c:v>0.82615847988380908</c:v>
                </c:pt>
                <c:pt idx="399">
                  <c:v>0.8153911530387663</c:v>
                </c:pt>
                <c:pt idx="400">
                  <c:v>0.80333332837909754</c:v>
                </c:pt>
                <c:pt idx="401">
                  <c:v>0.78980806865897468</c:v>
                </c:pt>
                <c:pt idx="402">
                  <c:v>0.77461508690290759</c:v>
                </c:pt>
                <c:pt idx="403">
                  <c:v>0.76038690457725777</c:v>
                </c:pt>
                <c:pt idx="404">
                  <c:v>0.74027333028292353</c:v>
                </c:pt>
                <c:pt idx="405">
                  <c:v>0.71945185286861368</c:v>
                </c:pt>
                <c:pt idx="406">
                  <c:v>0.69510299977692602</c:v>
                </c:pt>
                <c:pt idx="407">
                  <c:v>0.66827742889075359</c:v>
                </c:pt>
                <c:pt idx="408">
                  <c:v>0.63793671515432082</c:v>
                </c:pt>
                <c:pt idx="409">
                  <c:v>0.60451895949480172</c:v>
                </c:pt>
                <c:pt idx="410">
                  <c:v>0.56764407327826527</c:v>
                </c:pt>
                <c:pt idx="411">
                  <c:v>0.52819919103708846</c:v>
                </c:pt>
                <c:pt idx="412">
                  <c:v>0.48656332837244431</c:v>
                </c:pt>
                <c:pt idx="413">
                  <c:v>0.44490630075061705</c:v>
                </c:pt>
                <c:pt idx="414">
                  <c:v>0.40422770455153728</c:v>
                </c:pt>
                <c:pt idx="415">
                  <c:v>0.3988654244970895</c:v>
                </c:pt>
                <c:pt idx="416">
                  <c:v>0.98291280402450532</c:v>
                </c:pt>
                <c:pt idx="417">
                  <c:v>0.98291280402450532</c:v>
                </c:pt>
                <c:pt idx="418">
                  <c:v>0.93029680368287238</c:v>
                </c:pt>
                <c:pt idx="419">
                  <c:v>0.9263375056609463</c:v>
                </c:pt>
                <c:pt idx="420">
                  <c:v>0.92410350289481191</c:v>
                </c:pt>
                <c:pt idx="421">
                  <c:v>0.92246702056568797</c:v>
                </c:pt>
                <c:pt idx="422">
                  <c:v>0.92112545075286889</c:v>
                </c:pt>
                <c:pt idx="423">
                  <c:v>0.91996796940552472</c:v>
                </c:pt>
                <c:pt idx="424">
                  <c:v>0.91893925200966098</c:v>
                </c:pt>
                <c:pt idx="425">
                  <c:v>0.91800698533963754</c:v>
                </c:pt>
                <c:pt idx="426">
                  <c:v>0.91702734816235443</c:v>
                </c:pt>
                <c:pt idx="427">
                  <c:v>0.9159585801938982</c:v>
                </c:pt>
                <c:pt idx="428">
                  <c:v>0.91479625559011313</c:v>
                </c:pt>
                <c:pt idx="429">
                  <c:v>0.91353048339815646</c:v>
                </c:pt>
                <c:pt idx="430">
                  <c:v>0.91215088532597044</c:v>
                </c:pt>
                <c:pt idx="431">
                  <c:v>0.91064585001688003</c:v>
                </c:pt>
                <c:pt idx="432">
                  <c:v>0.90900246739993606</c:v>
                </c:pt>
                <c:pt idx="433">
                  <c:v>0.90720635607175415</c:v>
                </c:pt>
                <c:pt idx="434">
                  <c:v>0.90524147856173309</c:v>
                </c:pt>
                <c:pt idx="435">
                  <c:v>0.90308992791247966</c:v>
                </c:pt>
                <c:pt idx="436">
                  <c:v>0.90073168239924084</c:v>
                </c:pt>
                <c:pt idx="437">
                  <c:v>0.89814432232808461</c:v>
                </c:pt>
                <c:pt idx="438">
                  <c:v>0.89530270197348261</c:v>
                </c:pt>
                <c:pt idx="439">
                  <c:v>0.89217856822269714</c:v>
                </c:pt>
                <c:pt idx="440">
                  <c:v>0.88874011591112845</c:v>
                </c:pt>
                <c:pt idx="441">
                  <c:v>0.88495146788830703</c:v>
                </c:pt>
                <c:pt idx="442">
                  <c:v>0.88077206574924116</c:v>
                </c:pt>
                <c:pt idx="443">
                  <c:v>0.87615595477184927</c:v>
                </c:pt>
                <c:pt idx="444">
                  <c:v>0.87105094411999118</c:v>
                </c:pt>
                <c:pt idx="445">
                  <c:v>0.86539762083250626</c:v>
                </c:pt>
                <c:pt idx="446">
                  <c:v>0.8591281939956712</c:v>
                </c:pt>
                <c:pt idx="447">
                  <c:v>0.85216514411116695</c:v>
                </c:pt>
                <c:pt idx="448">
                  <c:v>0.84441965326912749</c:v>
                </c:pt>
                <c:pt idx="449">
                  <c:v>0.8357897958054098</c:v>
                </c:pt>
                <c:pt idx="450">
                  <c:v>0.82615847988380908</c:v>
                </c:pt>
                <c:pt idx="451">
                  <c:v>0.8153911530387663</c:v>
                </c:pt>
                <c:pt idx="452">
                  <c:v>0.80333332837909754</c:v>
                </c:pt>
                <c:pt idx="453">
                  <c:v>0.78980806865897468</c:v>
                </c:pt>
                <c:pt idx="454">
                  <c:v>0.77461508690290759</c:v>
                </c:pt>
                <c:pt idx="455">
                  <c:v>0.76038690457725777</c:v>
                </c:pt>
                <c:pt idx="456">
                  <c:v>0.74027333028292353</c:v>
                </c:pt>
                <c:pt idx="457">
                  <c:v>0.71945185286861368</c:v>
                </c:pt>
                <c:pt idx="458">
                  <c:v>0.69510299977692602</c:v>
                </c:pt>
                <c:pt idx="459">
                  <c:v>0.66827742889075359</c:v>
                </c:pt>
                <c:pt idx="460">
                  <c:v>0.63793671515432082</c:v>
                </c:pt>
                <c:pt idx="461">
                  <c:v>0.60451895949480172</c:v>
                </c:pt>
                <c:pt idx="462">
                  <c:v>0.56764407327826527</c:v>
                </c:pt>
                <c:pt idx="463">
                  <c:v>0.52819919103708846</c:v>
                </c:pt>
                <c:pt idx="464">
                  <c:v>0.48656332837244431</c:v>
                </c:pt>
                <c:pt idx="465">
                  <c:v>0.44490630075061705</c:v>
                </c:pt>
                <c:pt idx="466">
                  <c:v>0.40422770455153728</c:v>
                </c:pt>
                <c:pt idx="467">
                  <c:v>0.3988654244970895</c:v>
                </c:pt>
                <c:pt idx="468">
                  <c:v>0.98291280402450532</c:v>
                </c:pt>
                <c:pt idx="469">
                  <c:v>0.98291280402450532</c:v>
                </c:pt>
                <c:pt idx="470">
                  <c:v>0.93029680368287238</c:v>
                </c:pt>
                <c:pt idx="471">
                  <c:v>0.9263375056609463</c:v>
                </c:pt>
                <c:pt idx="472">
                  <c:v>0.92410350289481191</c:v>
                </c:pt>
                <c:pt idx="473">
                  <c:v>0.92246702056568797</c:v>
                </c:pt>
                <c:pt idx="474">
                  <c:v>0.92112545075286889</c:v>
                </c:pt>
                <c:pt idx="475">
                  <c:v>0.91996796940552472</c:v>
                </c:pt>
                <c:pt idx="476">
                  <c:v>0.91893925200966098</c:v>
                </c:pt>
                <c:pt idx="477">
                  <c:v>0.91800698533963754</c:v>
                </c:pt>
                <c:pt idx="478">
                  <c:v>0.91702734816235443</c:v>
                </c:pt>
                <c:pt idx="479">
                  <c:v>0.9159585801938982</c:v>
                </c:pt>
                <c:pt idx="480">
                  <c:v>0.91479625559011313</c:v>
                </c:pt>
                <c:pt idx="481">
                  <c:v>0.91353048339815646</c:v>
                </c:pt>
                <c:pt idx="482">
                  <c:v>0.91215088532597044</c:v>
                </c:pt>
                <c:pt idx="483">
                  <c:v>0.91064585001688003</c:v>
                </c:pt>
                <c:pt idx="484">
                  <c:v>0.90900246739993606</c:v>
                </c:pt>
                <c:pt idx="485">
                  <c:v>0.90720635607175415</c:v>
                </c:pt>
                <c:pt idx="486">
                  <c:v>0.90524147856173309</c:v>
                </c:pt>
                <c:pt idx="487">
                  <c:v>0.90308992791247966</c:v>
                </c:pt>
                <c:pt idx="488">
                  <c:v>0.90073168239924084</c:v>
                </c:pt>
                <c:pt idx="489">
                  <c:v>0.89814432232808461</c:v>
                </c:pt>
                <c:pt idx="490">
                  <c:v>0.89530270197348261</c:v>
                </c:pt>
                <c:pt idx="491">
                  <c:v>0.89217856822269714</c:v>
                </c:pt>
                <c:pt idx="492">
                  <c:v>0.88874011591112845</c:v>
                </c:pt>
                <c:pt idx="493">
                  <c:v>0.88495146788830703</c:v>
                </c:pt>
                <c:pt idx="494">
                  <c:v>0.88077206574924116</c:v>
                </c:pt>
                <c:pt idx="495">
                  <c:v>0.87615595477184927</c:v>
                </c:pt>
                <c:pt idx="496">
                  <c:v>0.87105094411999118</c:v>
                </c:pt>
                <c:pt idx="497">
                  <c:v>0.86539762083250626</c:v>
                </c:pt>
                <c:pt idx="498">
                  <c:v>0.8591281939956712</c:v>
                </c:pt>
                <c:pt idx="499">
                  <c:v>0.85216514411116695</c:v>
                </c:pt>
                <c:pt idx="500">
                  <c:v>0.84441965326912749</c:v>
                </c:pt>
                <c:pt idx="501">
                  <c:v>0.8357897958054098</c:v>
                </c:pt>
                <c:pt idx="502">
                  <c:v>0.82615847988380908</c:v>
                </c:pt>
                <c:pt idx="503">
                  <c:v>0.8153911530387663</c:v>
                </c:pt>
                <c:pt idx="504">
                  <c:v>0.80333332837909754</c:v>
                </c:pt>
                <c:pt idx="505">
                  <c:v>0.78980806865897468</c:v>
                </c:pt>
                <c:pt idx="506">
                  <c:v>0.77461508690290759</c:v>
                </c:pt>
                <c:pt idx="507">
                  <c:v>0.76038690457725777</c:v>
                </c:pt>
                <c:pt idx="508">
                  <c:v>0.74027333028292353</c:v>
                </c:pt>
                <c:pt idx="509">
                  <c:v>0.71945185286861368</c:v>
                </c:pt>
                <c:pt idx="510">
                  <c:v>0.69510299977692602</c:v>
                </c:pt>
                <c:pt idx="511">
                  <c:v>0.66827742889075359</c:v>
                </c:pt>
                <c:pt idx="512">
                  <c:v>0.63793671515432082</c:v>
                </c:pt>
                <c:pt idx="513">
                  <c:v>0.60451895949480172</c:v>
                </c:pt>
                <c:pt idx="514">
                  <c:v>0.56764407327826527</c:v>
                </c:pt>
                <c:pt idx="515">
                  <c:v>0.52819919103708846</c:v>
                </c:pt>
                <c:pt idx="516">
                  <c:v>0.48656332837244431</c:v>
                </c:pt>
                <c:pt idx="517">
                  <c:v>0.44490630075061705</c:v>
                </c:pt>
                <c:pt idx="518">
                  <c:v>0.40422770455153728</c:v>
                </c:pt>
                <c:pt idx="519">
                  <c:v>0.3988654244970895</c:v>
                </c:pt>
                <c:pt idx="520">
                  <c:v>0.98291280402450532</c:v>
                </c:pt>
                <c:pt idx="521">
                  <c:v>0.98291280402450532</c:v>
                </c:pt>
                <c:pt idx="522">
                  <c:v>0.93029680368287238</c:v>
                </c:pt>
                <c:pt idx="523">
                  <c:v>0.9263375056609463</c:v>
                </c:pt>
                <c:pt idx="524">
                  <c:v>0.92410350289481191</c:v>
                </c:pt>
                <c:pt idx="525">
                  <c:v>0.92246702056568797</c:v>
                </c:pt>
                <c:pt idx="526">
                  <c:v>0.92112545075286889</c:v>
                </c:pt>
                <c:pt idx="527">
                  <c:v>0.91996796940552472</c:v>
                </c:pt>
                <c:pt idx="528">
                  <c:v>0.91893925200966098</c:v>
                </c:pt>
                <c:pt idx="529">
                  <c:v>0.91800698533963754</c:v>
                </c:pt>
                <c:pt idx="530">
                  <c:v>0.91702734816235443</c:v>
                </c:pt>
                <c:pt idx="531">
                  <c:v>0.9159585801938982</c:v>
                </c:pt>
                <c:pt idx="532">
                  <c:v>0.91479625559011313</c:v>
                </c:pt>
                <c:pt idx="533">
                  <c:v>0.91353048339815646</c:v>
                </c:pt>
                <c:pt idx="534">
                  <c:v>0.91215088532597044</c:v>
                </c:pt>
                <c:pt idx="535">
                  <c:v>0.91064585001688003</c:v>
                </c:pt>
                <c:pt idx="536">
                  <c:v>0.90900246739993606</c:v>
                </c:pt>
                <c:pt idx="537">
                  <c:v>0.90720635607175415</c:v>
                </c:pt>
                <c:pt idx="538">
                  <c:v>0.90524147856173309</c:v>
                </c:pt>
                <c:pt idx="539">
                  <c:v>0.90308992791247966</c:v>
                </c:pt>
                <c:pt idx="540">
                  <c:v>0.90073168239924084</c:v>
                </c:pt>
                <c:pt idx="541">
                  <c:v>0.89814432232808461</c:v>
                </c:pt>
                <c:pt idx="542">
                  <c:v>0.89530270197348261</c:v>
                </c:pt>
                <c:pt idx="543">
                  <c:v>0.89217856822269714</c:v>
                </c:pt>
                <c:pt idx="544">
                  <c:v>0.88874011591112845</c:v>
                </c:pt>
                <c:pt idx="545">
                  <c:v>0.88495146788830703</c:v>
                </c:pt>
                <c:pt idx="546">
                  <c:v>0.88077206574924116</c:v>
                </c:pt>
                <c:pt idx="547">
                  <c:v>0.87615595477184927</c:v>
                </c:pt>
                <c:pt idx="548">
                  <c:v>0.87105094411999118</c:v>
                </c:pt>
                <c:pt idx="549">
                  <c:v>0.86539762083250626</c:v>
                </c:pt>
                <c:pt idx="550">
                  <c:v>0.8591281939956712</c:v>
                </c:pt>
                <c:pt idx="551">
                  <c:v>0.85216514411116695</c:v>
                </c:pt>
                <c:pt idx="552">
                  <c:v>0.84441965326912749</c:v>
                </c:pt>
                <c:pt idx="553">
                  <c:v>0.8357897958054098</c:v>
                </c:pt>
                <c:pt idx="554">
                  <c:v>0.82615847988380908</c:v>
                </c:pt>
                <c:pt idx="555">
                  <c:v>0.8153911530387663</c:v>
                </c:pt>
                <c:pt idx="556">
                  <c:v>0.80333332837909754</c:v>
                </c:pt>
                <c:pt idx="557">
                  <c:v>0.78980806865897468</c:v>
                </c:pt>
                <c:pt idx="558">
                  <c:v>0.77461508690290759</c:v>
                </c:pt>
                <c:pt idx="559">
                  <c:v>0.76038690457725777</c:v>
                </c:pt>
                <c:pt idx="560">
                  <c:v>0.74027333028292353</c:v>
                </c:pt>
                <c:pt idx="561">
                  <c:v>0.71945185286861368</c:v>
                </c:pt>
                <c:pt idx="562">
                  <c:v>0.69510299977692602</c:v>
                </c:pt>
                <c:pt idx="563">
                  <c:v>0.66827742889075359</c:v>
                </c:pt>
                <c:pt idx="564">
                  <c:v>0.63793671515432082</c:v>
                </c:pt>
                <c:pt idx="565">
                  <c:v>0.60451895949480172</c:v>
                </c:pt>
                <c:pt idx="566">
                  <c:v>0.56764407327826527</c:v>
                </c:pt>
                <c:pt idx="567">
                  <c:v>0.52819919103708846</c:v>
                </c:pt>
                <c:pt idx="568">
                  <c:v>0.48656332837244431</c:v>
                </c:pt>
                <c:pt idx="569">
                  <c:v>0.44490630075061705</c:v>
                </c:pt>
                <c:pt idx="570">
                  <c:v>0.40422770455153728</c:v>
                </c:pt>
                <c:pt idx="571">
                  <c:v>0.3988654244970895</c:v>
                </c:pt>
                <c:pt idx="572">
                  <c:v>0.98291280402450532</c:v>
                </c:pt>
                <c:pt idx="573">
                  <c:v>0.98291280402450532</c:v>
                </c:pt>
                <c:pt idx="574">
                  <c:v>0.93029680368287238</c:v>
                </c:pt>
                <c:pt idx="575">
                  <c:v>0.9263375056609463</c:v>
                </c:pt>
                <c:pt idx="576">
                  <c:v>0.92410350289481191</c:v>
                </c:pt>
                <c:pt idx="577">
                  <c:v>0.92246702056568797</c:v>
                </c:pt>
                <c:pt idx="578">
                  <c:v>0.92112545075286889</c:v>
                </c:pt>
                <c:pt idx="579">
                  <c:v>0.91996796940552472</c:v>
                </c:pt>
                <c:pt idx="580">
                  <c:v>0.91893925200966098</c:v>
                </c:pt>
                <c:pt idx="581">
                  <c:v>0.91800698533963754</c:v>
                </c:pt>
                <c:pt idx="582">
                  <c:v>0.91702734816235443</c:v>
                </c:pt>
                <c:pt idx="583">
                  <c:v>0.9159585801938982</c:v>
                </c:pt>
                <c:pt idx="584">
                  <c:v>0.91479625559011313</c:v>
                </c:pt>
                <c:pt idx="585">
                  <c:v>0.91353048339815646</c:v>
                </c:pt>
                <c:pt idx="586">
                  <c:v>0.91215088532597044</c:v>
                </c:pt>
                <c:pt idx="587">
                  <c:v>0.91064585001688003</c:v>
                </c:pt>
                <c:pt idx="588">
                  <c:v>0.90900246739993606</c:v>
                </c:pt>
                <c:pt idx="589">
                  <c:v>0.90720635607175415</c:v>
                </c:pt>
                <c:pt idx="590">
                  <c:v>0.90524147856173309</c:v>
                </c:pt>
                <c:pt idx="591">
                  <c:v>0.90308992791247966</c:v>
                </c:pt>
                <c:pt idx="592">
                  <c:v>0.90073168239924084</c:v>
                </c:pt>
                <c:pt idx="593">
                  <c:v>0.89814432232808461</c:v>
                </c:pt>
                <c:pt idx="594">
                  <c:v>0.89530270197348261</c:v>
                </c:pt>
                <c:pt idx="595">
                  <c:v>0.89217856822269714</c:v>
                </c:pt>
                <c:pt idx="596">
                  <c:v>0.88874011591112845</c:v>
                </c:pt>
                <c:pt idx="597">
                  <c:v>0.88495146788830703</c:v>
                </c:pt>
                <c:pt idx="598">
                  <c:v>0.88077206574924116</c:v>
                </c:pt>
                <c:pt idx="599">
                  <c:v>0.87615595477184927</c:v>
                </c:pt>
                <c:pt idx="600">
                  <c:v>0.87105094411999118</c:v>
                </c:pt>
                <c:pt idx="601">
                  <c:v>0.86539762083250626</c:v>
                </c:pt>
                <c:pt idx="602">
                  <c:v>0.8591281939956712</c:v>
                </c:pt>
                <c:pt idx="603">
                  <c:v>0.85216514411116695</c:v>
                </c:pt>
                <c:pt idx="604">
                  <c:v>0.84441965326912749</c:v>
                </c:pt>
                <c:pt idx="605">
                  <c:v>0.8357897958054098</c:v>
                </c:pt>
                <c:pt idx="606">
                  <c:v>0.82615847988380908</c:v>
                </c:pt>
                <c:pt idx="607">
                  <c:v>0.8153911530387663</c:v>
                </c:pt>
                <c:pt idx="608">
                  <c:v>0.80333332837909754</c:v>
                </c:pt>
                <c:pt idx="609">
                  <c:v>0.78980806865897468</c:v>
                </c:pt>
                <c:pt idx="610">
                  <c:v>0.77461508690290759</c:v>
                </c:pt>
                <c:pt idx="611">
                  <c:v>0.76038690457725777</c:v>
                </c:pt>
                <c:pt idx="612">
                  <c:v>0.74027333028292353</c:v>
                </c:pt>
                <c:pt idx="613">
                  <c:v>0.71945185286861368</c:v>
                </c:pt>
                <c:pt idx="614">
                  <c:v>0.69510299977692602</c:v>
                </c:pt>
                <c:pt idx="615">
                  <c:v>0.66827742889075359</c:v>
                </c:pt>
                <c:pt idx="616">
                  <c:v>0.63793671515432082</c:v>
                </c:pt>
                <c:pt idx="617">
                  <c:v>0.60451895949480172</c:v>
                </c:pt>
                <c:pt idx="618">
                  <c:v>0.56764407327826527</c:v>
                </c:pt>
                <c:pt idx="619">
                  <c:v>0.52819919103708846</c:v>
                </c:pt>
                <c:pt idx="620">
                  <c:v>0.48656332837244431</c:v>
                </c:pt>
                <c:pt idx="621">
                  <c:v>0.44490630075061705</c:v>
                </c:pt>
                <c:pt idx="622">
                  <c:v>0.40422770455153728</c:v>
                </c:pt>
                <c:pt idx="623">
                  <c:v>0.3988654244970895</c:v>
                </c:pt>
                <c:pt idx="624">
                  <c:v>0.98291280402450532</c:v>
                </c:pt>
                <c:pt idx="625">
                  <c:v>0.98291280402450532</c:v>
                </c:pt>
                <c:pt idx="626">
                  <c:v>0.93029680368287238</c:v>
                </c:pt>
                <c:pt idx="627">
                  <c:v>0.9263375056609463</c:v>
                </c:pt>
                <c:pt idx="628">
                  <c:v>0.92410350289481191</c:v>
                </c:pt>
                <c:pt idx="629">
                  <c:v>0.92246702056568797</c:v>
                </c:pt>
                <c:pt idx="630">
                  <c:v>0.92112545075286889</c:v>
                </c:pt>
                <c:pt idx="631">
                  <c:v>0.91996796940552472</c:v>
                </c:pt>
                <c:pt idx="632">
                  <c:v>0.91893925200966098</c:v>
                </c:pt>
                <c:pt idx="633">
                  <c:v>0.91800698533963754</c:v>
                </c:pt>
                <c:pt idx="634">
                  <c:v>0.91702734816235443</c:v>
                </c:pt>
                <c:pt idx="635">
                  <c:v>0.9159585801938982</c:v>
                </c:pt>
                <c:pt idx="636">
                  <c:v>0.91479625559011313</c:v>
                </c:pt>
                <c:pt idx="637">
                  <c:v>0.91353048339815646</c:v>
                </c:pt>
                <c:pt idx="638">
                  <c:v>0.91215088532597044</c:v>
                </c:pt>
                <c:pt idx="639">
                  <c:v>0.91064585001688003</c:v>
                </c:pt>
                <c:pt idx="640">
                  <c:v>0.90900246739993606</c:v>
                </c:pt>
                <c:pt idx="641">
                  <c:v>0.90720635607175415</c:v>
                </c:pt>
                <c:pt idx="642">
                  <c:v>0.90524147856173309</c:v>
                </c:pt>
                <c:pt idx="643">
                  <c:v>0.90308992791247966</c:v>
                </c:pt>
                <c:pt idx="644">
                  <c:v>0.90073168239924084</c:v>
                </c:pt>
                <c:pt idx="645">
                  <c:v>0.89814432232808461</c:v>
                </c:pt>
                <c:pt idx="646">
                  <c:v>0.89530270197348261</c:v>
                </c:pt>
                <c:pt idx="647">
                  <c:v>0.89217856822269714</c:v>
                </c:pt>
                <c:pt idx="648">
                  <c:v>0.88874011591112845</c:v>
                </c:pt>
                <c:pt idx="649">
                  <c:v>0.88495146788830703</c:v>
                </c:pt>
                <c:pt idx="650">
                  <c:v>0.88077206574924116</c:v>
                </c:pt>
                <c:pt idx="651">
                  <c:v>0.87615595477184927</c:v>
                </c:pt>
                <c:pt idx="652">
                  <c:v>0.87105094411999118</c:v>
                </c:pt>
                <c:pt idx="653">
                  <c:v>0.86539762083250626</c:v>
                </c:pt>
                <c:pt idx="654">
                  <c:v>0.8591281939956712</c:v>
                </c:pt>
                <c:pt idx="655">
                  <c:v>0.85216514411116695</c:v>
                </c:pt>
                <c:pt idx="656">
                  <c:v>0.84441965326912749</c:v>
                </c:pt>
                <c:pt idx="657">
                  <c:v>0.8357897958054098</c:v>
                </c:pt>
                <c:pt idx="658">
                  <c:v>0.82615847988380908</c:v>
                </c:pt>
                <c:pt idx="659">
                  <c:v>0.8153911530387663</c:v>
                </c:pt>
                <c:pt idx="660">
                  <c:v>0.80333332837909754</c:v>
                </c:pt>
                <c:pt idx="661">
                  <c:v>0.78980806865897468</c:v>
                </c:pt>
                <c:pt idx="662">
                  <c:v>0.77461508690290759</c:v>
                </c:pt>
                <c:pt idx="663">
                  <c:v>0.76038690457725777</c:v>
                </c:pt>
                <c:pt idx="664">
                  <c:v>0.74027333028292353</c:v>
                </c:pt>
                <c:pt idx="665">
                  <c:v>0.71945185286861368</c:v>
                </c:pt>
                <c:pt idx="666">
                  <c:v>0.69510299977692602</c:v>
                </c:pt>
                <c:pt idx="667">
                  <c:v>0.66827742889075359</c:v>
                </c:pt>
                <c:pt idx="668">
                  <c:v>0.63793671515432082</c:v>
                </c:pt>
                <c:pt idx="669">
                  <c:v>0.60451895949480172</c:v>
                </c:pt>
                <c:pt idx="670">
                  <c:v>0.56764407327826527</c:v>
                </c:pt>
                <c:pt idx="671">
                  <c:v>0.52819919103708846</c:v>
                </c:pt>
                <c:pt idx="672">
                  <c:v>0.48656332837244431</c:v>
                </c:pt>
                <c:pt idx="673">
                  <c:v>0.44490630075061705</c:v>
                </c:pt>
                <c:pt idx="674">
                  <c:v>0.40422770455153728</c:v>
                </c:pt>
                <c:pt idx="675">
                  <c:v>0.3988654244970895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EE-4286-9505-0E913F277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025152"/>
        <c:axId val="722025712"/>
      </c:scatterChart>
      <c:valAx>
        <c:axId val="722025152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25712"/>
        <c:crosses val="autoZero"/>
        <c:crossBetween val="midCat"/>
        <c:majorUnit val="3"/>
      </c:valAx>
      <c:valAx>
        <c:axId val="72202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02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image" Target="../media/image1.png"/><Relationship Id="rId7" Type="http://schemas.openxmlformats.org/officeDocument/2006/relationships/chart" Target="../charts/chart8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image" Target="../media/image2.png"/><Relationship Id="rId9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image" Target="../media/image1.png"/><Relationship Id="rId7" Type="http://schemas.openxmlformats.org/officeDocument/2006/relationships/chart" Target="../charts/chart15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image" Target="../media/image2.png"/><Relationship Id="rId9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image" Target="../media/image1.png"/><Relationship Id="rId7" Type="http://schemas.openxmlformats.org/officeDocument/2006/relationships/chart" Target="../charts/chart22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image" Target="../media/image2.png"/><Relationship Id="rId9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582279</xdr:colOff>
      <xdr:row>160</xdr:row>
      <xdr:rowOff>140914</xdr:rowOff>
    </xdr:from>
    <xdr:to>
      <xdr:col>20</xdr:col>
      <xdr:colOff>420681</xdr:colOff>
      <xdr:row>175</xdr:row>
      <xdr:rowOff>140914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302847</xdr:colOff>
      <xdr:row>22</xdr:row>
      <xdr:rowOff>184965</xdr:rowOff>
    </xdr:from>
    <xdr:to>
      <xdr:col>15</xdr:col>
      <xdr:colOff>560917</xdr:colOff>
      <xdr:row>37</xdr:row>
      <xdr:rowOff>3094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A38EF5-1744-4A73-94C0-9A8A73EB8E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570850</xdr:colOff>
      <xdr:row>71</xdr:row>
      <xdr:rowOff>100030</xdr:rowOff>
    </xdr:from>
    <xdr:to>
      <xdr:col>28</xdr:col>
      <xdr:colOff>484637</xdr:colOff>
      <xdr:row>98</xdr:row>
      <xdr:rowOff>68619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C09968-A460-4BBE-8437-7E0D68D2EE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138939</xdr:colOff>
      <xdr:row>16</xdr:row>
      <xdr:rowOff>46589</xdr:rowOff>
    </xdr:from>
    <xdr:to>
      <xdr:col>26</xdr:col>
      <xdr:colOff>428003</xdr:colOff>
      <xdr:row>30</xdr:row>
      <xdr:rowOff>122789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77971</xdr:colOff>
      <xdr:row>57</xdr:row>
      <xdr:rowOff>42296</xdr:rowOff>
    </xdr:from>
    <xdr:to>
      <xdr:col>16</xdr:col>
      <xdr:colOff>123096</xdr:colOff>
      <xdr:row>71</xdr:row>
      <xdr:rowOff>118496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223630</xdr:colOff>
      <xdr:row>0</xdr:row>
      <xdr:rowOff>0</xdr:rowOff>
    </xdr:from>
    <xdr:to>
      <xdr:col>7</xdr:col>
      <xdr:colOff>118601</xdr:colOff>
      <xdr:row>0</xdr:row>
      <xdr:rowOff>3493048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2430" y="0"/>
          <a:ext cx="3800221" cy="3493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112462</xdr:colOff>
      <xdr:row>0</xdr:row>
      <xdr:rowOff>140803</xdr:rowOff>
    </xdr:from>
    <xdr:to>
      <xdr:col>13</xdr:col>
      <xdr:colOff>91109</xdr:colOff>
      <xdr:row>0</xdr:row>
      <xdr:rowOff>3206920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56112" y="140803"/>
          <a:ext cx="3455272" cy="306611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15</xdr:col>
      <xdr:colOff>563217</xdr:colOff>
      <xdr:row>0</xdr:row>
      <xdr:rowOff>3735456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107672</xdr:colOff>
      <xdr:row>10</xdr:row>
      <xdr:rowOff>57149</xdr:rowOff>
    </xdr:from>
    <xdr:to>
      <xdr:col>18</xdr:col>
      <xdr:colOff>389281</xdr:colOff>
      <xdr:row>24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252620</xdr:colOff>
      <xdr:row>80</xdr:row>
      <xdr:rowOff>177247</xdr:rowOff>
    </xdr:from>
    <xdr:to>
      <xdr:col>8</xdr:col>
      <xdr:colOff>302316</xdr:colOff>
      <xdr:row>95</xdr:row>
      <xdr:rowOff>62947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518948</xdr:colOff>
      <xdr:row>0</xdr:row>
      <xdr:rowOff>0</xdr:rowOff>
    </xdr:from>
    <xdr:to>
      <xdr:col>22</xdr:col>
      <xdr:colOff>366147</xdr:colOff>
      <xdr:row>0</xdr:row>
      <xdr:rowOff>3735456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298888</xdr:colOff>
      <xdr:row>59</xdr:row>
      <xdr:rowOff>178675</xdr:rowOff>
    </xdr:from>
    <xdr:to>
      <xdr:col>25</xdr:col>
      <xdr:colOff>216119</xdr:colOff>
      <xdr:row>73</xdr:row>
      <xdr:rowOff>26275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5D693F68-5FC2-408C-9D02-3F4F7D578958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0.50066</cdr:x>
      <cdr:y>0.89246</cdr:y>
    </cdr:from>
    <cdr:to>
      <cdr:x>0.68894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F7AA58C-2C21-454F-854F-B385BEA70D08}"/>
                </a:ext>
              </a:extLst>
            </cdr:cNvPr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r>
                <a:rPr lang="en-US" sz="1200"/>
                <a:t> [m]</a:t>
              </a:r>
            </a:p>
          </cdr:txBody>
        </cdr:sp>
      </mc:Choice>
      <mc:Fallback xmlns="">
        <cdr:sp macro="" textlink="">
          <cdr:nvSpPr>
            <cdr:cNvPr id="3" name="TextBox 1"/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r>
                <a:rPr lang="en-US" sz="1200"/>
                <a:t> [m]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0.16131</cdr:x>
      <cdr:y>0.02984</cdr:y>
    </cdr:from>
    <cdr:to>
      <cdr:x>1</cdr:x>
      <cdr:y>0.12203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8F1FF8C0-BE54-4C9F-BD7A-3EBAC77DD1FF}"/>
                </a:ext>
              </a:extLst>
            </cdr:cNvPr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=3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=50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𝑐𝑃</m:t>
                  </m:r>
                </m:oMath>
              </a14:m>
              <a:endParaRPr lang="en-US" sz="1100"/>
            </a:p>
          </cdr:txBody>
        </cdr:sp>
      </mc:Choice>
      <mc:Fallback xmlns="">
        <cdr:sp macro="" textlink="">
          <cdr:nvSpPr>
            <cdr:cNvPr id="4" name="TextBox 1"/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𝑣_𝑆𝐺=3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𝜇_𝑜=50 𝑐𝑃</a:t>
              </a:r>
              <a:endParaRPr lang="en-US" sz="1100"/>
            </a:p>
          </cdr:txBody>
        </cdr:sp>
      </mc:Fallback>
    </mc:AlternateContent>
  </cdr:relSizeAnchor>
  <cdr:relSizeAnchor xmlns:cdr="http://schemas.openxmlformats.org/drawingml/2006/chartDrawing">
    <cdr:from>
      <cdr:x>0.22442</cdr:x>
      <cdr:y>0.63655</cdr:y>
    </cdr:from>
    <cdr:to>
      <cdr:x>0.82781</cdr:x>
      <cdr:y>0.82759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A3F57C9-AD0C-4DB2-A8B5-0E05767D299D}"/>
            </a:ext>
          </a:extLst>
        </cdr:cNvPr>
        <cdr:cNvSpPr txBox="1"/>
      </cdr:nvSpPr>
      <cdr:spPr>
        <a:xfrm xmlns:a="http://schemas.openxmlformats.org/drawingml/2006/main">
          <a:off x="666926" y="1600673"/>
          <a:ext cx="1793151" cy="480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/>
            <a:t>Taitel and Barnea (1990) model</a:t>
          </a:r>
          <a:r>
            <a:rPr lang="en-US" sz="1200" baseline="0"/>
            <a:t> prediction</a:t>
          </a:r>
          <a:endParaRPr lang="en-US" sz="12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138939</xdr:colOff>
      <xdr:row>16</xdr:row>
      <xdr:rowOff>46589</xdr:rowOff>
    </xdr:from>
    <xdr:to>
      <xdr:col>26</xdr:col>
      <xdr:colOff>428003</xdr:colOff>
      <xdr:row>30</xdr:row>
      <xdr:rowOff>122789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5712</xdr:colOff>
      <xdr:row>58</xdr:row>
      <xdr:rowOff>160537</xdr:rowOff>
    </xdr:from>
    <xdr:to>
      <xdr:col>15</xdr:col>
      <xdr:colOff>287320</xdr:colOff>
      <xdr:row>73</xdr:row>
      <xdr:rowOff>46237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223630</xdr:colOff>
      <xdr:row>0</xdr:row>
      <xdr:rowOff>0</xdr:rowOff>
    </xdr:from>
    <xdr:to>
      <xdr:col>7</xdr:col>
      <xdr:colOff>118601</xdr:colOff>
      <xdr:row>0</xdr:row>
      <xdr:rowOff>3493048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2430" y="0"/>
          <a:ext cx="3800221" cy="3493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112462</xdr:colOff>
      <xdr:row>0</xdr:row>
      <xdr:rowOff>140803</xdr:rowOff>
    </xdr:from>
    <xdr:to>
      <xdr:col>13</xdr:col>
      <xdr:colOff>91109</xdr:colOff>
      <xdr:row>0</xdr:row>
      <xdr:rowOff>3206920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56112" y="140803"/>
          <a:ext cx="3455272" cy="306611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15</xdr:col>
      <xdr:colOff>563217</xdr:colOff>
      <xdr:row>0</xdr:row>
      <xdr:rowOff>3735456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107672</xdr:colOff>
      <xdr:row>10</xdr:row>
      <xdr:rowOff>57149</xdr:rowOff>
    </xdr:from>
    <xdr:to>
      <xdr:col>18</xdr:col>
      <xdr:colOff>389281</xdr:colOff>
      <xdr:row>24</xdr:row>
      <xdr:rowOff>133349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252620</xdr:colOff>
      <xdr:row>80</xdr:row>
      <xdr:rowOff>177247</xdr:rowOff>
    </xdr:from>
    <xdr:to>
      <xdr:col>8</xdr:col>
      <xdr:colOff>302316</xdr:colOff>
      <xdr:row>95</xdr:row>
      <xdr:rowOff>62947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518948</xdr:colOff>
      <xdr:row>0</xdr:row>
      <xdr:rowOff>0</xdr:rowOff>
    </xdr:from>
    <xdr:to>
      <xdr:col>22</xdr:col>
      <xdr:colOff>366147</xdr:colOff>
      <xdr:row>0</xdr:row>
      <xdr:rowOff>3735456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305458</xdr:colOff>
      <xdr:row>54</xdr:row>
      <xdr:rowOff>112986</xdr:rowOff>
    </xdr:from>
    <xdr:to>
      <xdr:col>33</xdr:col>
      <xdr:colOff>91310</xdr:colOff>
      <xdr:row>67</xdr:row>
      <xdr:rowOff>151086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BBE61356-346C-4063-AFCB-CD3C7F330077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0.50066</cdr:x>
      <cdr:y>0.89246</cdr:y>
    </cdr:from>
    <cdr:to>
      <cdr:x>0.68894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5A6CE759-BBFE-4C20-9944-4D587F7667F0}"/>
                </a:ext>
              </a:extLst>
            </cdr:cNvPr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r>
                <a:rPr lang="en-US" sz="1200"/>
                <a:t> [m]</a:t>
              </a:r>
            </a:p>
          </cdr:txBody>
        </cdr:sp>
      </mc:Choice>
      <mc:Fallback xmlns="">
        <cdr:sp macro="" textlink="">
          <cdr:nvSpPr>
            <cdr:cNvPr id="3" name="TextBox 1"/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r>
                <a:rPr lang="en-US" sz="1200"/>
                <a:t> [m]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0.16131</cdr:x>
      <cdr:y>0.02984</cdr:y>
    </cdr:from>
    <cdr:to>
      <cdr:x>1</cdr:x>
      <cdr:y>0.12203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626CF4AD-0633-4B8B-86CB-7503F1B30409}"/>
                </a:ext>
              </a:extLst>
            </cdr:cNvPr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=3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=50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𝑐𝑃</m:t>
                  </m:r>
                </m:oMath>
              </a14:m>
              <a:endParaRPr lang="en-US" sz="1100"/>
            </a:p>
          </cdr:txBody>
        </cdr:sp>
      </mc:Choice>
      <mc:Fallback xmlns="">
        <cdr:sp macro="" textlink="">
          <cdr:nvSpPr>
            <cdr:cNvPr id="4" name="TextBox 1"/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𝑣_𝑆𝐺=3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𝜇_𝑜=50 𝑐𝑃</a:t>
              </a:r>
              <a:endParaRPr lang="en-US" sz="1100"/>
            </a:p>
          </cdr:txBody>
        </cdr:sp>
      </mc:Fallback>
    </mc:AlternateContent>
  </cdr:relSizeAnchor>
  <cdr:relSizeAnchor xmlns:cdr="http://schemas.openxmlformats.org/drawingml/2006/chartDrawing">
    <cdr:from>
      <cdr:x>0.22442</cdr:x>
      <cdr:y>0.63655</cdr:y>
    </cdr:from>
    <cdr:to>
      <cdr:x>0.82781</cdr:x>
      <cdr:y>0.82759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80AC393-1014-4437-B3EB-BBB1151A84FB}"/>
            </a:ext>
          </a:extLst>
        </cdr:cNvPr>
        <cdr:cNvSpPr txBox="1"/>
      </cdr:nvSpPr>
      <cdr:spPr>
        <a:xfrm xmlns:a="http://schemas.openxmlformats.org/drawingml/2006/main">
          <a:off x="666926" y="1600673"/>
          <a:ext cx="1793151" cy="480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/>
            <a:t>Taitel and Barnea (1990) model</a:t>
          </a:r>
          <a:r>
            <a:rPr lang="en-US" sz="1200" baseline="0"/>
            <a:t> prediction</a:t>
          </a:r>
          <a:endParaRPr lang="en-US" sz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138939</xdr:colOff>
      <xdr:row>16</xdr:row>
      <xdr:rowOff>46589</xdr:rowOff>
    </xdr:from>
    <xdr:to>
      <xdr:col>26</xdr:col>
      <xdr:colOff>428003</xdr:colOff>
      <xdr:row>30</xdr:row>
      <xdr:rowOff>122789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5712</xdr:colOff>
      <xdr:row>58</xdr:row>
      <xdr:rowOff>160537</xdr:rowOff>
    </xdr:from>
    <xdr:to>
      <xdr:col>15</xdr:col>
      <xdr:colOff>287320</xdr:colOff>
      <xdr:row>73</xdr:row>
      <xdr:rowOff>46237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223630</xdr:colOff>
      <xdr:row>0</xdr:row>
      <xdr:rowOff>0</xdr:rowOff>
    </xdr:from>
    <xdr:to>
      <xdr:col>7</xdr:col>
      <xdr:colOff>118601</xdr:colOff>
      <xdr:row>0</xdr:row>
      <xdr:rowOff>3493048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2430" y="0"/>
          <a:ext cx="3800221" cy="3493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112462</xdr:colOff>
      <xdr:row>0</xdr:row>
      <xdr:rowOff>140803</xdr:rowOff>
    </xdr:from>
    <xdr:to>
      <xdr:col>13</xdr:col>
      <xdr:colOff>91109</xdr:colOff>
      <xdr:row>0</xdr:row>
      <xdr:rowOff>3206920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56112" y="140803"/>
          <a:ext cx="3455272" cy="306611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15</xdr:col>
      <xdr:colOff>563217</xdr:colOff>
      <xdr:row>0</xdr:row>
      <xdr:rowOff>3735456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107672</xdr:colOff>
      <xdr:row>10</xdr:row>
      <xdr:rowOff>57149</xdr:rowOff>
    </xdr:from>
    <xdr:to>
      <xdr:col>18</xdr:col>
      <xdr:colOff>389281</xdr:colOff>
      <xdr:row>24</xdr:row>
      <xdr:rowOff>133349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252620</xdr:colOff>
      <xdr:row>80</xdr:row>
      <xdr:rowOff>177247</xdr:rowOff>
    </xdr:from>
    <xdr:to>
      <xdr:col>8</xdr:col>
      <xdr:colOff>302316</xdr:colOff>
      <xdr:row>95</xdr:row>
      <xdr:rowOff>62947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518948</xdr:colOff>
      <xdr:row>0</xdr:row>
      <xdr:rowOff>0</xdr:rowOff>
    </xdr:from>
    <xdr:to>
      <xdr:col>22</xdr:col>
      <xdr:colOff>366147</xdr:colOff>
      <xdr:row>0</xdr:row>
      <xdr:rowOff>3735456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305458</xdr:colOff>
      <xdr:row>54</xdr:row>
      <xdr:rowOff>112986</xdr:rowOff>
    </xdr:from>
    <xdr:to>
      <xdr:col>33</xdr:col>
      <xdr:colOff>91310</xdr:colOff>
      <xdr:row>67</xdr:row>
      <xdr:rowOff>151086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AA1A612-A8DE-4CA4-A6EE-3C65812B5715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0.50066</cdr:x>
      <cdr:y>0.89246</cdr:y>
    </cdr:from>
    <cdr:to>
      <cdr:x>0.68894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25D238DD-0E5C-433C-B33B-1902C9043DC1}"/>
                </a:ext>
              </a:extLst>
            </cdr:cNvPr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r>
                <a:rPr lang="en-US" sz="1200"/>
                <a:t> [m]</a:t>
              </a:r>
            </a:p>
          </cdr:txBody>
        </cdr:sp>
      </mc:Choice>
      <mc:Fallback xmlns="">
        <cdr:sp macro="" textlink="">
          <cdr:nvSpPr>
            <cdr:cNvPr id="3" name="TextBox 1"/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r>
                <a:rPr lang="en-US" sz="1200"/>
                <a:t> [m]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0.16131</cdr:x>
      <cdr:y>0.02984</cdr:y>
    </cdr:from>
    <cdr:to>
      <cdr:x>1</cdr:x>
      <cdr:y>0.12203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5FBA9A-1007-403C-AF81-87BDEE0D8A51}"/>
                </a:ext>
              </a:extLst>
            </cdr:cNvPr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𝑐𝑃</m:t>
                  </m:r>
                </m:oMath>
              </a14:m>
              <a:endParaRPr lang="en-US" sz="1100"/>
            </a:p>
          </cdr:txBody>
        </cdr:sp>
      </mc:Choice>
      <mc:Fallback xmlns="">
        <cdr:sp macro="" textlink="">
          <cdr:nvSpPr>
            <cdr:cNvPr id="4" name="TextBox 1"/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𝜇_𝑜=1 𝑐𝑃</a:t>
              </a:r>
              <a:endParaRPr lang="en-US" sz="1100"/>
            </a:p>
          </cdr:txBody>
        </cdr:sp>
      </mc:Fallback>
    </mc:AlternateContent>
  </cdr:relSizeAnchor>
  <cdr:relSizeAnchor xmlns:cdr="http://schemas.openxmlformats.org/drawingml/2006/chartDrawing">
    <cdr:from>
      <cdr:x>0.22442</cdr:x>
      <cdr:y>0.63655</cdr:y>
    </cdr:from>
    <cdr:to>
      <cdr:x>0.82781</cdr:x>
      <cdr:y>0.82759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9C6A0B0-7926-47E1-A330-7D26DD4F53DB}"/>
            </a:ext>
          </a:extLst>
        </cdr:cNvPr>
        <cdr:cNvSpPr txBox="1"/>
      </cdr:nvSpPr>
      <cdr:spPr>
        <a:xfrm xmlns:a="http://schemas.openxmlformats.org/drawingml/2006/main">
          <a:off x="666926" y="1600673"/>
          <a:ext cx="1793151" cy="480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/>
            <a:t>Taitel and Barnea (1990) model</a:t>
          </a:r>
          <a:r>
            <a:rPr lang="en-US" sz="1200" baseline="0"/>
            <a:t> prediction</a:t>
          </a:r>
          <a:endParaRPr lang="en-US" sz="12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479532</xdr:colOff>
      <xdr:row>3</xdr:row>
      <xdr:rowOff>91963</xdr:rowOff>
    </xdr:from>
    <xdr:to>
      <xdr:col>13</xdr:col>
      <xdr:colOff>467708</xdr:colOff>
      <xdr:row>22</xdr:row>
      <xdr:rowOff>130063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26</xdr:row>
      <xdr:rowOff>0</xdr:rowOff>
    </xdr:from>
    <xdr:to>
      <xdr:col>9</xdr:col>
      <xdr:colOff>528145</xdr:colOff>
      <xdr:row>39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42</xdr:row>
      <xdr:rowOff>0</xdr:rowOff>
    </xdr:from>
    <xdr:to>
      <xdr:col>10</xdr:col>
      <xdr:colOff>603031</xdr:colOff>
      <xdr:row>54</xdr:row>
      <xdr:rowOff>155448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5203828A-142D-48DC-8A7B-C6F34E113C75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0.47432</cdr:x>
      <cdr:y>0.93032</cdr:y>
    </cdr:from>
    <cdr:to>
      <cdr:x>0.57112</cdr:x>
      <cdr:y>0.99461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F2CF882-B196-4046-A8E1-B14EDCA9DBCA}"/>
                </a:ext>
              </a:extLst>
            </cdr:cNvPr>
            <cdr:cNvSpPr txBox="1"/>
          </cdr:nvSpPr>
          <cdr:spPr>
            <a:xfrm xmlns:a="http://schemas.openxmlformats.org/drawingml/2006/main">
              <a:off x="2602304" y="3402728"/>
              <a:ext cx="531095" cy="235166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r>
                <a:rPr lang="en-US" sz="1200"/>
                <a:t> [m]</a:t>
              </a:r>
            </a:p>
          </cdr:txBody>
        </cdr:sp>
      </mc:Choice>
      <mc:Fallback xmlns="">
        <cdr:sp macro="" textlink="">
          <cdr:nvSpPr>
            <cdr:cNvPr id="3" name="TextBox 1"/>
            <cdr:cNvSpPr txBox="1"/>
          </cdr:nvSpPr>
          <cdr:spPr>
            <a:xfrm xmlns:a="http://schemas.openxmlformats.org/drawingml/2006/main">
              <a:off x="2602304" y="3402728"/>
              <a:ext cx="531095" cy="235166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r>
                <a:rPr lang="en-US" sz="1200"/>
                <a:t> [m]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0.16131</cdr:x>
      <cdr:y>0.03882</cdr:y>
    </cdr:from>
    <cdr:to>
      <cdr:x>0.67888</cdr:x>
      <cdr:y>0.13101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69C63E70-C95E-4036-8F5C-125FDDD42352}"/>
                </a:ext>
              </a:extLst>
            </cdr:cNvPr>
            <cdr:cNvSpPr txBox="1"/>
          </cdr:nvSpPr>
          <cdr:spPr>
            <a:xfrm xmlns:a="http://schemas.openxmlformats.org/drawingml/2006/main">
              <a:off x="479381" y="97617"/>
              <a:ext cx="1538114" cy="23182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=3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 : Blue solid line</a:t>
              </a:r>
            </a:p>
          </cdr:txBody>
        </cdr:sp>
      </mc:Choice>
      <mc:Fallback xmlns="">
        <cdr:sp macro="" textlink="">
          <cdr:nvSpPr>
            <cdr:cNvPr id="4" name="TextBox 1"/>
            <cdr:cNvSpPr txBox="1"/>
          </cdr:nvSpPr>
          <cdr:spPr>
            <a:xfrm xmlns:a="http://schemas.openxmlformats.org/drawingml/2006/main">
              <a:off x="479381" y="97617"/>
              <a:ext cx="1538114" cy="23182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𝑣_𝑆𝐺=3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 : Blue solid line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0.22442</cdr:x>
      <cdr:y>0.72949</cdr:y>
    </cdr:from>
    <cdr:to>
      <cdr:x>0.75682</cdr:x>
      <cdr:y>0.82759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512F411-957F-453E-A438-3644B2D96F80}"/>
            </a:ext>
          </a:extLst>
        </cdr:cNvPr>
        <cdr:cNvSpPr txBox="1"/>
      </cdr:nvSpPr>
      <cdr:spPr>
        <a:xfrm xmlns:a="http://schemas.openxmlformats.org/drawingml/2006/main">
          <a:off x="1188212" y="2161189"/>
          <a:ext cx="2818860" cy="2906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/>
            <a:t>Taitel and Barnea (1990) model</a:t>
          </a:r>
          <a:r>
            <a:rPr lang="en-US" sz="1200" baseline="0"/>
            <a:t> prediction</a:t>
          </a:r>
          <a:endParaRPr lang="en-US" sz="1200"/>
        </a:p>
      </cdr:txBody>
    </cdr:sp>
  </cdr:relSizeAnchor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23AEE46-B075-4D4E-BAFE-D3C925DC27AA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0.16164</cdr:x>
      <cdr:y>0.0898</cdr:y>
    </cdr:from>
    <cdr:to>
      <cdr:x>0.66116</cdr:x>
      <cdr:y>0.17052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64CBD9F6-E48F-4A05-B66F-EEFAD2B00381}"/>
                </a:ext>
              </a:extLst>
            </cdr:cNvPr>
            <cdr:cNvSpPr txBox="1"/>
          </cdr:nvSpPr>
          <cdr:spPr>
            <a:xfrm xmlns:a="http://schemas.openxmlformats.org/drawingml/2006/main">
              <a:off x="480357" y="225809"/>
              <a:ext cx="1484475" cy="20298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 : Black  dash</a:t>
              </a:r>
              <a:r>
                <a:rPr lang="en-US" sz="1100" baseline="0"/>
                <a:t> </a:t>
              </a:r>
              <a:r>
                <a:rPr lang="en-US" sz="1100"/>
                <a:t>line</a:t>
              </a:r>
            </a:p>
          </cdr:txBody>
        </cdr:sp>
      </mc:Choice>
      <mc:Fallback xmlns="">
        <cdr:sp macro="" textlink="">
          <cdr:nvSpPr>
            <cdr:cNvPr id="8" name="TextBox 1"/>
            <cdr:cNvSpPr txBox="1"/>
          </cdr:nvSpPr>
          <cdr:spPr>
            <a:xfrm xmlns:a="http://schemas.openxmlformats.org/drawingml/2006/main">
              <a:off x="480357" y="225809"/>
              <a:ext cx="1484475" cy="20298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 : Black  dash</a:t>
              </a:r>
              <a:r>
                <a:rPr lang="en-US" sz="1100" baseline="0"/>
                <a:t> </a:t>
              </a:r>
              <a:r>
                <a:rPr lang="en-US" sz="1100"/>
                <a:t>line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0.77945</cdr:x>
      <cdr:y>0.06058</cdr:y>
    </cdr:from>
    <cdr:to>
      <cdr:x>0.93535</cdr:x>
      <cdr:y>0.12572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0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C225928E-DFA6-477C-AE06-7EB5F489B6AD}"/>
                </a:ext>
              </a:extLst>
            </cdr:cNvPr>
            <cdr:cNvSpPr txBox="1"/>
          </cdr:nvSpPr>
          <cdr:spPr>
            <a:xfrm xmlns:a="http://schemas.openxmlformats.org/drawingml/2006/main">
              <a:off x="2316383" y="152346"/>
              <a:ext cx="463300" cy="16378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=50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𝑐𝑃</m:t>
                    </m:r>
                  </m:oMath>
                </m:oMathPara>
              </a14:m>
              <a:endParaRPr lang="en-US" sz="1100"/>
            </a:p>
          </cdr:txBody>
        </cdr:sp>
      </mc:Choice>
      <mc:Fallback xmlns="">
        <cdr:sp macro="" textlink="">
          <cdr:nvSpPr>
            <cdr:cNvPr id="10" name="TextBox 1"/>
            <cdr:cNvSpPr txBox="1"/>
          </cdr:nvSpPr>
          <cdr:spPr>
            <a:xfrm xmlns:a="http://schemas.openxmlformats.org/drawingml/2006/main">
              <a:off x="2316383" y="152346"/>
              <a:ext cx="463300" cy="16378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𝜇_𝑜=50 𝑐𝑃</a:t>
              </a:r>
              <a:endParaRPr lang="en-US" sz="1100"/>
            </a:p>
          </cdr:txBody>
        </cdr:sp>
      </mc:Fallback>
    </mc:AlternateContent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76EA149-2090-49A1-9B10-53B624347966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0.50066</cdr:x>
      <cdr:y>0.89246</cdr:y>
    </cdr:from>
    <cdr:to>
      <cdr:x>0.68894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5941F9BF-AA44-40DC-8D9F-E9DD89766025}"/>
                </a:ext>
              </a:extLst>
            </cdr:cNvPr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r>
                <a:rPr lang="en-US" sz="1200"/>
                <a:t> [m]</a:t>
              </a:r>
            </a:p>
          </cdr:txBody>
        </cdr:sp>
      </mc:Choice>
      <mc:Fallback xmlns="">
        <cdr:sp macro="" textlink="">
          <cdr:nvSpPr>
            <cdr:cNvPr id="3" name="TextBox 1"/>
            <cdr:cNvSpPr txBox="1"/>
          </cdr:nvSpPr>
          <cdr:spPr>
            <a:xfrm xmlns:a="http://schemas.openxmlformats.org/drawingml/2006/main">
              <a:off x="1487872" y="2244178"/>
              <a:ext cx="559511" cy="2704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r>
                <a:rPr lang="en-US" sz="1200"/>
                <a:t> [m]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0.16131</cdr:x>
      <cdr:y>0.02984</cdr:y>
    </cdr:from>
    <cdr:to>
      <cdr:x>1</cdr:x>
      <cdr:y>0.12203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536F041-5948-4D6D-B85B-6673DF51A8C1}"/>
                </a:ext>
              </a:extLst>
            </cdr:cNvPr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𝑐𝑃</m:t>
                  </m:r>
                </m:oMath>
              </a14:m>
              <a:endParaRPr lang="en-US" sz="1100"/>
            </a:p>
          </cdr:txBody>
        </cdr:sp>
      </mc:Choice>
      <mc:Fallback xmlns="">
        <cdr:sp macro="" textlink="">
          <cdr:nvSpPr>
            <cdr:cNvPr id="4" name="TextBox 1"/>
            <cdr:cNvSpPr txBox="1"/>
          </cdr:nvSpPr>
          <cdr:spPr>
            <a:xfrm xmlns:a="http://schemas.openxmlformats.org/drawingml/2006/main">
              <a:off x="479370" y="75032"/>
              <a:ext cx="2492430" cy="23183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𝜇_𝑜=1 𝑐𝑃</a:t>
              </a:r>
              <a:endParaRPr lang="en-US" sz="1100"/>
            </a:p>
          </cdr:txBody>
        </cdr:sp>
      </mc:Fallback>
    </mc:AlternateContent>
  </cdr:relSizeAnchor>
  <cdr:relSizeAnchor xmlns:cdr="http://schemas.openxmlformats.org/drawingml/2006/chartDrawing">
    <cdr:from>
      <cdr:x>0.22442</cdr:x>
      <cdr:y>0.63655</cdr:y>
    </cdr:from>
    <cdr:to>
      <cdr:x>0.82781</cdr:x>
      <cdr:y>0.82759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9969E084-6C6D-435D-B86B-1902961B8938}"/>
            </a:ext>
          </a:extLst>
        </cdr:cNvPr>
        <cdr:cNvSpPr txBox="1"/>
      </cdr:nvSpPr>
      <cdr:spPr>
        <a:xfrm xmlns:a="http://schemas.openxmlformats.org/drawingml/2006/main">
          <a:off x="666926" y="1600673"/>
          <a:ext cx="1793151" cy="480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/>
            <a:t>Taitel and Barnea (1990) model</a:t>
          </a:r>
          <a:r>
            <a:rPr lang="en-US" sz="1200" baseline="0"/>
            <a:t> prediction</a:t>
          </a:r>
          <a:endParaRPr lang="en-US" sz="12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502030E-81D0-4DEE-A2AE-D404C1B6C4F4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24CFD9F7-521E-45AB-96B1-02B3B7CB6104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0.22151</cdr:x>
      <cdr:y>0.04849</cdr:y>
    </cdr:from>
    <cdr:to>
      <cdr:x>0.90517</cdr:x>
      <cdr:y>0.1426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5D5C0B03-B6E3-496D-8D30-01B080AA5778}"/>
                </a:ext>
              </a:extLst>
            </cdr:cNvPr>
            <cdr:cNvSpPr txBox="1"/>
          </cdr:nvSpPr>
          <cdr:spPr>
            <a:xfrm xmlns:a="http://schemas.openxmlformats.org/drawingml/2006/main">
              <a:off x="810180" y="118392"/>
              <a:ext cx="2500579" cy="22976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𝑆𝐺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𝑆𝐿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𝑠</m:t>
                  </m:r>
                </m:oMath>
              </a14:m>
              <a:r>
                <a:rPr lang="en-US" sz="1100"/>
                <a:t> </a:t>
              </a:r>
            </a:p>
          </cdr:txBody>
        </cdr:sp>
      </mc:Choice>
      <mc:Fallback xmlns="">
        <cdr:sp macro="" textlink="">
          <cdr:nvSpPr>
            <cdr:cNvPr id="8" name="TextBox 1"/>
            <cdr:cNvSpPr txBox="1"/>
          </cdr:nvSpPr>
          <cdr:spPr>
            <a:xfrm xmlns:a="http://schemas.openxmlformats.org/drawingml/2006/main">
              <a:off x="810180" y="118392"/>
              <a:ext cx="2500579" cy="22976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𝑣_𝑆𝐺=1 𝑚/𝑠</a:t>
              </a:r>
              <a:r>
                <a:rPr lang="en-US" sz="1100"/>
                <a:t>, </a:t>
              </a:r>
              <a:r>
                <a:rPr lang="en-US" sz="1100" b="0" i="0">
                  <a:latin typeface="Cambria Math" panose="02040503050406030204" pitchFamily="18" charset="0"/>
                </a:rPr>
                <a:t>𝑣_𝑆𝐿=1 𝑚/𝑠</a:t>
              </a:r>
              <a:r>
                <a:rPr lang="en-US" sz="1100"/>
                <a:t> 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0.21551</cdr:x>
      <cdr:y>0.60476</cdr:y>
    </cdr:from>
    <cdr:to>
      <cdr:x>0.88182</cdr:x>
      <cdr:y>0.6717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0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BF199706-90AB-4581-AD00-F317D986F6CB}"/>
                </a:ext>
              </a:extLst>
            </cdr:cNvPr>
            <cdr:cNvSpPr txBox="1"/>
          </cdr:nvSpPr>
          <cdr:spPr>
            <a:xfrm xmlns:a="http://schemas.openxmlformats.org/drawingml/2006/main">
              <a:off x="788260" y="1476491"/>
              <a:ext cx="2437101" cy="16341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=50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𝑐𝑃</m:t>
                  </m:r>
                </m:oMath>
              </a14:m>
              <a:r>
                <a:rPr lang="en-US" sz="1100"/>
                <a:t> : Black</a:t>
              </a:r>
              <a:r>
                <a:rPr lang="en-US" sz="1100" baseline="0"/>
                <a:t> dash</a:t>
              </a:r>
              <a:r>
                <a:rPr lang="en-US" sz="1100"/>
                <a:t> line</a:t>
              </a:r>
            </a:p>
          </cdr:txBody>
        </cdr:sp>
      </mc:Choice>
      <mc:Fallback xmlns="">
        <cdr:sp macro="" textlink="">
          <cdr:nvSpPr>
            <cdr:cNvPr id="10" name="TextBox 1"/>
            <cdr:cNvSpPr txBox="1"/>
          </cdr:nvSpPr>
          <cdr:spPr>
            <a:xfrm xmlns:a="http://schemas.openxmlformats.org/drawingml/2006/main">
              <a:off x="788260" y="1476491"/>
              <a:ext cx="2437101" cy="16341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 i="0">
                  <a:latin typeface="Cambria Math" panose="02040503050406030204" pitchFamily="18" charset="0"/>
                </a:rPr>
                <a:t>𝜇_𝑜=50 𝑐𝑃</a:t>
              </a:r>
              <a:r>
                <a:rPr lang="en-US" sz="1100"/>
                <a:t> : Black</a:t>
              </a:r>
              <a:r>
                <a:rPr lang="en-US" sz="1100" baseline="0"/>
                <a:t> dash</a:t>
              </a:r>
              <a:r>
                <a:rPr lang="en-US" sz="1100"/>
                <a:t> line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</cdr:x>
      <cdr:y>0.36782</cdr:y>
    </cdr:from>
    <cdr:to>
      <cdr:x>0.09394</cdr:x>
      <cdr:y>0.4877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1F9337-F3C9-4A0F-A83C-61D5DEFD2E1E}"/>
                </a:ext>
              </a:extLst>
            </cdr:cNvPr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̃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</m:oMath>
                </m:oMathPara>
              </a14:m>
              <a:endParaRPr lang="en-US" sz="1200"/>
            </a:p>
          </cdr:txBody>
        </cdr:sp>
      </mc:Choice>
      <mc:Fallback xmlns=""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16200000">
              <a:off x="-11140" y="936051"/>
              <a:ext cx="301460" cy="27918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ℎ ̃_𝐿</a:t>
              </a:r>
              <a:endParaRPr lang="en-US" sz="1200"/>
            </a:p>
          </cdr:txBody>
        </cdr:sp>
      </mc:Fallback>
    </mc:AlternateContent>
  </cdr:relSizeAnchor>
  <cdr:relSizeAnchor xmlns:cdr="http://schemas.openxmlformats.org/drawingml/2006/chartDrawing">
    <cdr:from>
      <cdr:x>0.44858</cdr:x>
      <cdr:y>0.89246</cdr:y>
    </cdr:from>
    <cdr:to>
      <cdr:x>0.63686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9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4A41101-5FB2-4142-98E5-13CC9B36963D}"/>
                </a:ext>
              </a:extLst>
            </cdr:cNvPr>
            <cdr:cNvSpPr txBox="1"/>
          </cdr:nvSpPr>
          <cdr:spPr>
            <a:xfrm xmlns:a="http://schemas.openxmlformats.org/drawingml/2006/main">
              <a:off x="1640714" y="2178895"/>
              <a:ext cx="688653" cy="26255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r>
                <a:rPr lang="en-US" sz="1200"/>
                <a:t> [m]</a:t>
              </a:r>
            </a:p>
          </cdr:txBody>
        </cdr:sp>
      </mc:Choice>
      <mc:Fallback xmlns="">
        <cdr:sp macro="" textlink="">
          <cdr:nvSpPr>
            <cdr:cNvPr id="9" name="TextBox 1"/>
            <cdr:cNvSpPr txBox="1"/>
          </cdr:nvSpPr>
          <cdr:spPr>
            <a:xfrm xmlns:a="http://schemas.openxmlformats.org/drawingml/2006/main">
              <a:off x="1640714" y="2178895"/>
              <a:ext cx="688653" cy="26255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r>
                <a:rPr lang="en-US" sz="1200"/>
                <a:t> [m]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0.2164</cdr:x>
      <cdr:y>0.69277</cdr:y>
    </cdr:from>
    <cdr:to>
      <cdr:x>0.90517</cdr:x>
      <cdr:y>0.7597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FBCB14C5-6DAA-4DB9-A5CF-98588724229E}"/>
                </a:ext>
              </a:extLst>
            </cdr:cNvPr>
            <cdr:cNvSpPr txBox="1"/>
          </cdr:nvSpPr>
          <cdr:spPr>
            <a:xfrm xmlns:a="http://schemas.openxmlformats.org/drawingml/2006/main">
              <a:off x="791487" y="1691357"/>
              <a:ext cx="2519272" cy="16341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=1 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𝑐𝑃</m:t>
                  </m:r>
                </m:oMath>
              </a14:m>
              <a:r>
                <a:rPr lang="en-US" sz="1100"/>
                <a:t> : Green</a:t>
              </a:r>
              <a:r>
                <a:rPr lang="en-US" sz="1100" baseline="0"/>
                <a:t> solid</a:t>
              </a:r>
              <a:r>
                <a:rPr lang="en-US" sz="1100"/>
                <a:t> line</a:t>
              </a:r>
            </a:p>
          </cdr:txBody>
        </cdr:sp>
      </mc:Choice>
      <mc:Fallback xmlns="">
        <cdr:sp macro="" textlink="">
          <cdr:nvSpPr>
            <cdr:cNvPr id="13" name="TextBox 1"/>
            <cdr:cNvSpPr txBox="1"/>
          </cdr:nvSpPr>
          <cdr:spPr>
            <a:xfrm xmlns:a="http://schemas.openxmlformats.org/drawingml/2006/main">
              <a:off x="791487" y="1691357"/>
              <a:ext cx="2519272" cy="16341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 i="0">
                  <a:latin typeface="Cambria Math" panose="02040503050406030204" pitchFamily="18" charset="0"/>
                </a:rPr>
                <a:t>𝜇_𝑜=1 𝑐𝑃</a:t>
              </a:r>
              <a:r>
                <a:rPr lang="en-US" sz="1100"/>
                <a:t> : Green</a:t>
              </a:r>
              <a:r>
                <a:rPr lang="en-US" sz="1100" baseline="0"/>
                <a:t> solid</a:t>
              </a:r>
              <a:r>
                <a:rPr lang="en-US" sz="1100"/>
                <a:t> line</a:t>
              </a:r>
            </a:p>
          </cdr:txBody>
        </cdr:sp>
      </mc:Fallback>
    </mc:AlternateContent>
  </cdr:relSizeAnchor>
</c:userShape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HLTB@v_LTB=0" TargetMode="External"/><Relationship Id="rId2" Type="http://schemas.openxmlformats.org/officeDocument/2006/relationships/hyperlink" Target="mailto:h_F_TTBN@z=0" TargetMode="External"/><Relationship Id="rId1" Type="http://schemas.openxmlformats.org/officeDocument/2006/relationships/hyperlink" Target="mailto:h_tilde_F_TTBN@z=0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h_f@%20vLTB=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LTB@v_LTB=0" TargetMode="External"/><Relationship Id="rId2" Type="http://schemas.openxmlformats.org/officeDocument/2006/relationships/hyperlink" Target="mailto:h_F_TTBN@z=0" TargetMode="External"/><Relationship Id="rId1" Type="http://schemas.openxmlformats.org/officeDocument/2006/relationships/hyperlink" Target="mailto:h_tilde_F_TTBN@z=0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h_f@%20vLTB=0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HLTB@v_LTB=0" TargetMode="External"/><Relationship Id="rId2" Type="http://schemas.openxmlformats.org/officeDocument/2006/relationships/hyperlink" Target="mailto:h_F_TTBN@z=0" TargetMode="External"/><Relationship Id="rId1" Type="http://schemas.openxmlformats.org/officeDocument/2006/relationships/hyperlink" Target="mailto:h_tilde_F_TTBN@z=0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h_f@%20vLTB=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HLTB@v_LTB=0" TargetMode="External"/><Relationship Id="rId2" Type="http://schemas.openxmlformats.org/officeDocument/2006/relationships/hyperlink" Target="mailto:h_F_TTBN@z=0" TargetMode="External"/><Relationship Id="rId1" Type="http://schemas.openxmlformats.org/officeDocument/2006/relationships/hyperlink" Target="mailto:h_tilde_F_TTBN@z=0" TargetMode="External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h_f@%20vLTB=0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14999847407452621"/>
  </sheetPr>
  <dimension ref="A3:BF221"/>
  <sheetViews>
    <sheetView tabSelected="1" topLeftCell="B30" zoomScale="75" zoomScaleNormal="75" workbookViewId="0">
      <selection activeCell="G46" sqref="G46"/>
    </sheetView>
  </sheetViews>
  <sheetFormatPr defaultRowHeight="14.4" x14ac:dyDescent="0.3"/>
  <cols>
    <col min="2" max="2" width="11.33203125" customWidth="1"/>
    <col min="5" max="5" width="20.33203125" customWidth="1"/>
    <col min="6" max="6" width="23.6640625" bestFit="1" customWidth="1"/>
    <col min="7" max="7" width="13.33203125" customWidth="1"/>
    <col min="8" max="8" width="13.109375" bestFit="1" customWidth="1"/>
    <col min="12" max="12" width="11.33203125" customWidth="1"/>
    <col min="13" max="13" width="12" customWidth="1"/>
    <col min="14" max="14" width="10" customWidth="1"/>
    <col min="15" max="15" width="12" bestFit="1" customWidth="1"/>
    <col min="16" max="16" width="12.6640625" bestFit="1" customWidth="1"/>
    <col min="17" max="17" width="11" customWidth="1"/>
    <col min="18" max="18" width="15" customWidth="1"/>
    <col min="20" max="20" width="11.88671875" bestFit="1" customWidth="1"/>
    <col min="21" max="21" width="11.5546875" bestFit="1" customWidth="1"/>
    <col min="22" max="22" width="11.88671875" customWidth="1"/>
    <col min="23" max="23" width="12.5546875" customWidth="1"/>
    <col min="24" max="24" width="12.6640625" customWidth="1"/>
    <col min="25" max="25" width="13" bestFit="1" customWidth="1"/>
    <col min="26" max="26" width="13.6640625" bestFit="1" customWidth="1"/>
    <col min="27" max="28" width="13" bestFit="1" customWidth="1"/>
    <col min="30" max="30" width="11.109375" bestFit="1" customWidth="1"/>
    <col min="36" max="36" width="13.6640625" customWidth="1"/>
    <col min="37" max="37" width="14.33203125" customWidth="1"/>
    <col min="38" max="38" width="13.33203125" customWidth="1"/>
    <col min="39" max="39" width="15.5546875" bestFit="1" customWidth="1"/>
    <col min="42" max="42" width="13" bestFit="1" customWidth="1"/>
    <col min="43" max="43" width="18.109375" customWidth="1"/>
    <col min="44" max="44" width="15.5546875" bestFit="1" customWidth="1"/>
    <col min="49" max="49" width="14.6640625" bestFit="1" customWidth="1"/>
  </cols>
  <sheetData>
    <row r="3" spans="6:47" ht="15" thickBot="1" x14ac:dyDescent="0.35"/>
    <row r="4" spans="6:47" ht="15" thickBot="1" x14ac:dyDescent="0.35">
      <c r="F4" s="22"/>
      <c r="G4" s="25" t="s">
        <v>154</v>
      </c>
      <c r="H4" s="24"/>
      <c r="R4">
        <v>2</v>
      </c>
      <c r="S4">
        <v>10</v>
      </c>
    </row>
    <row r="5" spans="6:47" x14ac:dyDescent="0.3">
      <c r="F5" s="13" t="s">
        <v>63</v>
      </c>
      <c r="G5" s="14">
        <v>7.2800000000000004E-2</v>
      </c>
      <c r="H5" s="15" t="s">
        <v>64</v>
      </c>
      <c r="Y5" s="2"/>
      <c r="AE5" s="9"/>
      <c r="AF5" s="9"/>
      <c r="AG5" s="9"/>
      <c r="AH5" s="9"/>
      <c r="AI5" s="9"/>
      <c r="AJ5" s="9"/>
      <c r="AK5" s="9"/>
      <c r="AL5" s="11"/>
      <c r="AM5" s="11"/>
      <c r="AN5" s="9"/>
      <c r="AO5" s="9"/>
    </row>
    <row r="6" spans="6:47" x14ac:dyDescent="0.3">
      <c r="F6" s="16" t="s">
        <v>40</v>
      </c>
      <c r="G6" s="17">
        <v>9.8000000000000007</v>
      </c>
      <c r="H6" s="18" t="s">
        <v>41</v>
      </c>
      <c r="R6" t="s">
        <v>135</v>
      </c>
      <c r="S6">
        <f>(G35*G31-G52*G31+G11)/G35</f>
        <v>0.46359695828430236</v>
      </c>
      <c r="Y6" s="2"/>
      <c r="AE6" s="9"/>
      <c r="AF6" s="9"/>
      <c r="AG6" s="9"/>
      <c r="AH6" s="9"/>
      <c r="AI6" s="9"/>
      <c r="AJ6" s="9"/>
      <c r="AK6" s="9"/>
      <c r="AL6" s="11"/>
      <c r="AM6" s="11"/>
      <c r="AN6" s="9"/>
      <c r="AO6" s="9"/>
    </row>
    <row r="7" spans="6:47" x14ac:dyDescent="0.3">
      <c r="F7" s="16" t="s">
        <v>32</v>
      </c>
      <c r="G7" s="17">
        <f>G8/180*PI()</f>
        <v>1.7453292519943295E-2</v>
      </c>
      <c r="H7" s="18" t="s">
        <v>39</v>
      </c>
      <c r="R7" t="s">
        <v>136</v>
      </c>
      <c r="S7">
        <f>S6*G14+(1-S6)*G23</f>
        <v>462.68331862650649</v>
      </c>
      <c r="Y7" s="2"/>
      <c r="AE7" s="9"/>
      <c r="AF7" s="9"/>
      <c r="AG7" s="9"/>
      <c r="AH7" s="9"/>
      <c r="AI7" s="9"/>
      <c r="AJ7" s="9"/>
      <c r="AK7" s="9"/>
      <c r="AL7" s="11"/>
      <c r="AM7" s="11"/>
      <c r="AN7" s="9"/>
      <c r="AO7" s="9"/>
    </row>
    <row r="8" spans="6:47" x14ac:dyDescent="0.3">
      <c r="F8" s="16" t="s">
        <v>32</v>
      </c>
      <c r="G8" s="17">
        <v>1</v>
      </c>
      <c r="H8" s="18" t="s">
        <v>31</v>
      </c>
      <c r="Y8" s="2"/>
      <c r="AE8" s="9"/>
      <c r="AF8" s="9"/>
      <c r="AG8" s="9"/>
      <c r="AH8" s="9"/>
      <c r="AI8" s="9"/>
      <c r="AJ8" s="9"/>
      <c r="AK8" s="9"/>
      <c r="AL8" s="11"/>
      <c r="AM8" s="11"/>
      <c r="AN8" s="9"/>
      <c r="AO8" s="9"/>
    </row>
    <row r="9" spans="6:47" x14ac:dyDescent="0.3">
      <c r="F9" s="16" t="s">
        <v>0</v>
      </c>
      <c r="G9" s="17">
        <v>3.8100000000000002E-2</v>
      </c>
      <c r="H9" s="18" t="s">
        <v>1</v>
      </c>
      <c r="L9" s="8" t="s">
        <v>142</v>
      </c>
      <c r="M9" s="8"/>
      <c r="N9" s="8"/>
      <c r="O9" s="8"/>
      <c r="P9" s="8"/>
      <c r="Y9" s="2"/>
      <c r="AD9" t="s">
        <v>136</v>
      </c>
      <c r="AE9" s="9">
        <v>215.40151199215398</v>
      </c>
      <c r="AF9" s="9"/>
      <c r="AG9" s="9"/>
      <c r="AH9" s="9"/>
      <c r="AI9" s="9"/>
      <c r="AJ9" s="9"/>
      <c r="AK9" s="9"/>
      <c r="AL9" s="11"/>
      <c r="AM9" s="11"/>
      <c r="AN9" s="9"/>
      <c r="AO9" s="9"/>
    </row>
    <row r="10" spans="6:47" x14ac:dyDescent="0.3">
      <c r="F10" s="16" t="s">
        <v>2</v>
      </c>
      <c r="G10" s="17">
        <f>PI()*G9^2/4</f>
        <v>1.1400918279693699E-3</v>
      </c>
      <c r="H10" s="18" t="s">
        <v>3</v>
      </c>
      <c r="Y10" s="2"/>
      <c r="AD10" t="s">
        <v>135</v>
      </c>
      <c r="AE10" s="9">
        <v>0.21445564667956349</v>
      </c>
      <c r="AF10" s="9"/>
      <c r="AG10" s="9"/>
      <c r="AH10" s="9"/>
      <c r="AI10" s="9"/>
      <c r="AJ10" s="9"/>
      <c r="AK10" s="9"/>
      <c r="AL10" s="11"/>
      <c r="AM10" s="11"/>
      <c r="AN10" s="9"/>
      <c r="AO10" s="9"/>
    </row>
    <row r="11" spans="6:47" x14ac:dyDescent="0.3">
      <c r="F11" s="16" t="s">
        <v>4</v>
      </c>
      <c r="G11" s="17">
        <f>G12/G10</f>
        <v>0.47027090302310964</v>
      </c>
      <c r="H11" s="18" t="s">
        <v>5</v>
      </c>
      <c r="L11" s="35" t="s">
        <v>155</v>
      </c>
      <c r="M11" s="35" t="s">
        <v>68</v>
      </c>
      <c r="Y11" s="2"/>
      <c r="AE11" s="9"/>
      <c r="AF11" s="9"/>
      <c r="AG11" s="9"/>
      <c r="AH11" s="9"/>
      <c r="AI11" s="9"/>
      <c r="AJ11" s="9"/>
      <c r="AK11" s="9"/>
      <c r="AL11" s="11"/>
      <c r="AM11" s="11"/>
      <c r="AN11" s="9"/>
      <c r="AO11" s="9"/>
    </row>
    <row r="12" spans="6:47" x14ac:dyDescent="0.3">
      <c r="F12" s="16" t="s">
        <v>6</v>
      </c>
      <c r="G12" s="17">
        <f>534/G14/1000</f>
        <v>5.3615201346842334E-4</v>
      </c>
      <c r="H12" s="18" t="s">
        <v>7</v>
      </c>
    </row>
    <row r="13" spans="6:47" x14ac:dyDescent="0.3">
      <c r="F13" s="16" t="s">
        <v>6</v>
      </c>
      <c r="G13" s="17">
        <f>G12*1000*60/3.78541</f>
        <v>8.4981866714848309</v>
      </c>
      <c r="H13" s="18" t="s">
        <v>8</v>
      </c>
      <c r="T13">
        <v>20</v>
      </c>
    </row>
    <row r="14" spans="6:47" x14ac:dyDescent="0.3">
      <c r="F14" s="16" t="s">
        <v>22</v>
      </c>
      <c r="G14" s="56">
        <v>995.98618784530572</v>
      </c>
      <c r="H14" s="18" t="s">
        <v>24</v>
      </c>
      <c r="Q14" s="52" t="s">
        <v>69</v>
      </c>
      <c r="R14" s="53">
        <v>0</v>
      </c>
      <c r="S14" s="53" t="s">
        <v>74</v>
      </c>
      <c r="T14" s="53" t="s">
        <v>83</v>
      </c>
      <c r="U14" s="53" t="s">
        <v>119</v>
      </c>
      <c r="V14" s="53" t="s">
        <v>130</v>
      </c>
      <c r="W14" s="53" t="s">
        <v>123</v>
      </c>
      <c r="X14" s="53" t="s">
        <v>143</v>
      </c>
      <c r="Y14" s="53" t="s">
        <v>144</v>
      </c>
      <c r="Z14" s="53" t="s">
        <v>145</v>
      </c>
      <c r="AA14" s="53" t="s">
        <v>124</v>
      </c>
      <c r="AB14" s="53" t="s">
        <v>125</v>
      </c>
      <c r="AC14" s="53" t="s">
        <v>127</v>
      </c>
      <c r="AD14" s="53" t="s">
        <v>126</v>
      </c>
      <c r="AE14" s="53" t="s">
        <v>128</v>
      </c>
      <c r="AF14" s="53" t="s">
        <v>146</v>
      </c>
      <c r="AG14" s="53" t="s">
        <v>120</v>
      </c>
      <c r="AH14" s="53" t="s">
        <v>147</v>
      </c>
      <c r="AI14" s="53" t="s">
        <v>129</v>
      </c>
      <c r="AJ14" s="53" t="s">
        <v>148</v>
      </c>
      <c r="AK14" s="53" t="s">
        <v>138</v>
      </c>
      <c r="AL14" s="53" t="s">
        <v>139</v>
      </c>
      <c r="AM14" s="53" t="s">
        <v>131</v>
      </c>
      <c r="AN14" s="53" t="s">
        <v>132</v>
      </c>
      <c r="AO14" s="53" t="s">
        <v>134</v>
      </c>
      <c r="AP14" s="53" t="s">
        <v>137</v>
      </c>
      <c r="AQ14" s="53" t="s">
        <v>133</v>
      </c>
      <c r="AR14" s="54" t="s">
        <v>140</v>
      </c>
      <c r="AS14" s="36"/>
      <c r="AT14" s="10"/>
      <c r="AU14" s="9"/>
    </row>
    <row r="15" spans="6:47" x14ac:dyDescent="0.3">
      <c r="F15" s="16" t="s">
        <v>23</v>
      </c>
      <c r="G15" s="64">
        <v>9.7874160869547183E-4</v>
      </c>
      <c r="H15" s="18" t="s">
        <v>16</v>
      </c>
      <c r="Q15" s="55">
        <v>0</v>
      </c>
      <c r="R15" s="56">
        <v>3.0346313473255605E-2</v>
      </c>
      <c r="S15" s="17">
        <f>R15/$G$9</f>
        <v>0.79649116727704994</v>
      </c>
      <c r="T15" s="17">
        <f t="shared" ref="T15:T30" si="0">cal_hltb(S15)</f>
        <v>0.85403575666930343</v>
      </c>
      <c r="U15" s="17">
        <f t="shared" ref="U15:U30" si="1">$G$35-($G$35-$G$52)*$G$31/(T15)</f>
        <v>1.5586224042104266</v>
      </c>
      <c r="V15" s="17">
        <f t="shared" ref="V15:V23" si="2">($G$29-U15*T15)/(1-T15)</f>
        <v>1.5633472985405144</v>
      </c>
      <c r="W15" s="17">
        <f t="shared" ref="W15:W23" si="3">0.25*(PI()-ACOS(2*S15-1)+(2*S15-1)*(1-(2*S15-1)^2)^0.5)</f>
        <v>0.67075811476382108</v>
      </c>
      <c r="X15" s="17">
        <f t="shared" ref="X15:X23" si="4">PI()-ACOS(2*S15-1)</f>
        <v>2.2055539106532445</v>
      </c>
      <c r="Y15" s="17">
        <f t="shared" ref="Y15:Y23" si="5">4*W15/X15</f>
        <v>1.2164891758463612</v>
      </c>
      <c r="Z15" s="17">
        <f t="shared" ref="Z15:Z23" si="6">Y15*$G$9</f>
        <v>4.6348237599746364E-2</v>
      </c>
      <c r="AA15" s="17">
        <f t="shared" ref="AA15:AA23" si="7">0.25*(ACOS(2*S15-1)-(2*S15-1)*(1-(2*S15-1)^2)^0.5)</f>
        <v>0.11464004863362724</v>
      </c>
      <c r="AB15" s="17">
        <f t="shared" ref="AB15:AB23" si="8">ACOS(2*S15-1)</f>
        <v>0.93603874293654887</v>
      </c>
      <c r="AC15" s="17">
        <f t="shared" ref="AC15:AC23" si="9">(1-(2*S15-1)^2)^0.5</f>
        <v>0.80521546862114468</v>
      </c>
      <c r="AD15" s="17">
        <f t="shared" ref="AD15:AD23" si="10">4*AA15/(AB15+AC15)</f>
        <v>0.26335051567472711</v>
      </c>
      <c r="AE15" s="17">
        <f t="shared" ref="AE15:AE23" si="11">AD15*$G$9</f>
        <v>1.0033654647207103E-2</v>
      </c>
      <c r="AF15" s="17">
        <f t="shared" ref="AF15:AF23" si="12">$G$14*Z15*U15/$G$15</f>
        <v>73512.197184166085</v>
      </c>
      <c r="AG15" s="17">
        <f t="shared" ref="AG15:AG23" si="13">0.046*($G$14*Z15*U15/$G$15)^(-0.2)</f>
        <v>4.8919943974929294E-3</v>
      </c>
      <c r="AH15" s="17">
        <f t="shared" ref="AH15:AH23" si="14">$G$23*AE15*V15/$G$24</f>
        <v>1503.3256554212971</v>
      </c>
      <c r="AI15" s="17">
        <f t="shared" ref="AI15:AI23" si="15">0.046*($G$23*AE15*V15/$G$24)^(-0.2)</f>
        <v>1.0649941393448308E-2</v>
      </c>
      <c r="AJ15" s="17">
        <f>$G$32*$G$9*$G$29/$G$33</f>
        <v>60280.915290654404</v>
      </c>
      <c r="AK15" s="17">
        <f>0.046*($G$32*$G$9*$G$29/$G$33)^(-0.2)</f>
        <v>5.0900478391217368E-3</v>
      </c>
      <c r="AL15" s="17">
        <f t="shared" ref="AL15:AL23" si="16">AK15*$G$32*$G$29*$G$29/2</f>
        <v>5.2652487228621467</v>
      </c>
      <c r="AM15" s="17">
        <f t="shared" ref="AM15:AM23" si="17">AG15*($G$14*U15*U15)/2</f>
        <v>5.9182199330877827</v>
      </c>
      <c r="AN15" s="17">
        <f t="shared" ref="AN15:AN23" si="18">AI15*($G$23*V15*V15)/2</f>
        <v>2.29803348729858E-2</v>
      </c>
      <c r="AO15" s="17">
        <f t="shared" ref="AO15:AO23" si="19">$T$146*$G$6*SIN($G$7)*($A$91+$G$91)</f>
        <v>4.2423945228077645E-2</v>
      </c>
      <c r="AP15" s="17">
        <f>AL15*PI()*$G$9*$A$91/$G$10</f>
        <v>38.325600185769488</v>
      </c>
      <c r="AQ15" s="17">
        <f t="shared" ref="AQ15:AQ23" si="20">(AM15*X15*$G$9+AN15*AB15*$G$9)/$G$10</f>
        <v>436.92714129576598</v>
      </c>
      <c r="AR15" s="57">
        <f>0.5*(AQ15+AQ16)*(Q16-Q15)</f>
        <v>4.3691683943045698E-4</v>
      </c>
      <c r="AS15" s="9"/>
      <c r="AT15" s="10"/>
      <c r="AU15" s="9"/>
    </row>
    <row r="16" spans="6:47" x14ac:dyDescent="0.3">
      <c r="F16" s="16" t="s">
        <v>17</v>
      </c>
      <c r="G16" s="17">
        <f>G17/G10</f>
        <v>1.0890411668130258</v>
      </c>
      <c r="H16" s="18" t="s">
        <v>5</v>
      </c>
      <c r="Q16" s="55">
        <v>9.9999999999999995E-7</v>
      </c>
      <c r="R16" s="56">
        <v>3.0345411777178519E-2</v>
      </c>
      <c r="S16" s="17">
        <f t="shared" ref="S16:S30" si="21">R16/$G$9</f>
        <v>0.79646750071334693</v>
      </c>
      <c r="T16" s="17">
        <f t="shared" si="0"/>
        <v>0.85401149242152274</v>
      </c>
      <c r="U16" s="17">
        <f t="shared" si="1"/>
        <v>1.5586040443095945</v>
      </c>
      <c r="V16" s="17">
        <f t="shared" si="2"/>
        <v>1.5634539159761036</v>
      </c>
      <c r="W16" s="17">
        <f t="shared" si="3"/>
        <v>0.67073905766817798</v>
      </c>
      <c r="X16" s="17">
        <f t="shared" si="4"/>
        <v>2.2054951287435469</v>
      </c>
      <c r="Y16" s="17">
        <f t="shared" si="5"/>
        <v>1.2164870353629713</v>
      </c>
      <c r="Z16" s="17">
        <f t="shared" si="6"/>
        <v>4.6348156047329211E-2</v>
      </c>
      <c r="AA16" s="17">
        <f t="shared" si="7"/>
        <v>0.11465910572927038</v>
      </c>
      <c r="AB16" s="17">
        <f t="shared" si="8"/>
        <v>0.93609752484624631</v>
      </c>
      <c r="AC16" s="17">
        <f t="shared" si="9"/>
        <v>0.80525032386403084</v>
      </c>
      <c r="AD16" s="17">
        <f t="shared" si="10"/>
        <v>0.26338013008530653</v>
      </c>
      <c r="AE16" s="17">
        <f t="shared" si="11"/>
        <v>1.0034782956250179E-2</v>
      </c>
      <c r="AF16" s="17">
        <f t="shared" si="12"/>
        <v>73511.201894676342</v>
      </c>
      <c r="AG16" s="17">
        <f t="shared" si="13"/>
        <v>4.8920076442474734E-3</v>
      </c>
      <c r="AH16" s="17">
        <f t="shared" si="14"/>
        <v>1503.5972436717675</v>
      </c>
      <c r="AI16" s="17">
        <f t="shared" si="15"/>
        <v>1.0649556635101341E-2</v>
      </c>
      <c r="AJ16" s="17">
        <f>$G$32*$G$9*$G$29/$G$33</f>
        <v>60280.915290654404</v>
      </c>
      <c r="AK16" s="17">
        <f>0.046*($G$32*$G$9*$G$29/$G$33)^(-0.2)</f>
        <v>5.0900478391217368E-3</v>
      </c>
      <c r="AL16" s="17">
        <f t="shared" si="16"/>
        <v>5.2652487228621467</v>
      </c>
      <c r="AM16" s="17">
        <f t="shared" si="17"/>
        <v>5.9180965309787243</v>
      </c>
      <c r="AN16" s="17">
        <f t="shared" si="18"/>
        <v>2.2982639072872839E-2</v>
      </c>
      <c r="AO16" s="17">
        <f t="shared" si="19"/>
        <v>4.2423945228077645E-2</v>
      </c>
      <c r="AP16" s="17">
        <f t="shared" ref="AP16:AP23" si="22">AL16*PI()*$G$9*$G$43/$G$10</f>
        <v>311.76905823561714</v>
      </c>
      <c r="AQ16" s="17">
        <f t="shared" si="20"/>
        <v>436.90653756514808</v>
      </c>
      <c r="AR16" s="57">
        <f>0.5*(AQ16+AQ17)*(Q17-Q16)</f>
        <v>0.23193857370534082</v>
      </c>
      <c r="AS16" s="9"/>
      <c r="AT16" s="10"/>
      <c r="AU16" s="9"/>
    </row>
    <row r="17" spans="5:49" x14ac:dyDescent="0.3">
      <c r="F17" s="16" t="s">
        <v>18</v>
      </c>
      <c r="G17" s="17">
        <f>0.00755987*0.29/G23</f>
        <v>1.2416069346057579E-3</v>
      </c>
      <c r="H17" s="18" t="s">
        <v>7</v>
      </c>
      <c r="Q17" s="55">
        <v>5.3767832639864909E-4</v>
      </c>
      <c r="R17" s="56">
        <v>2.9929712538276709E-2</v>
      </c>
      <c r="S17" s="17">
        <f t="shared" si="21"/>
        <v>0.78555675953482174</v>
      </c>
      <c r="T17" s="17">
        <f t="shared" si="0"/>
        <v>0.84271543814651417</v>
      </c>
      <c r="U17" s="17">
        <f t="shared" si="1"/>
        <v>1.5499419008267408</v>
      </c>
      <c r="V17" s="17">
        <f t="shared" si="2"/>
        <v>1.6095165272171115</v>
      </c>
      <c r="W17" s="17">
        <f t="shared" si="3"/>
        <v>0.66186715738694823</v>
      </c>
      <c r="X17" s="17">
        <f t="shared" si="4"/>
        <v>2.1786580519611514</v>
      </c>
      <c r="Y17" s="17">
        <f t="shared" si="5"/>
        <v>1.2151831845133452</v>
      </c>
      <c r="Z17" s="17">
        <f t="shared" si="6"/>
        <v>4.6298479329958453E-2</v>
      </c>
      <c r="AA17" s="17">
        <f t="shared" si="7"/>
        <v>0.1235310060105</v>
      </c>
      <c r="AB17" s="17">
        <f t="shared" si="8"/>
        <v>0.96293460162864164</v>
      </c>
      <c r="AC17" s="17">
        <f t="shared" si="9"/>
        <v>0.82087109118051416</v>
      </c>
      <c r="AD17" s="17">
        <f t="shared" si="10"/>
        <v>0.27700552029512154</v>
      </c>
      <c r="AE17" s="17">
        <f t="shared" si="11"/>
        <v>1.0553910323244131E-2</v>
      </c>
      <c r="AF17" s="17">
        <f t="shared" si="12"/>
        <v>73024.301257122279</v>
      </c>
      <c r="AG17" s="17">
        <f t="shared" si="13"/>
        <v>4.8985139556169876E-3</v>
      </c>
      <c r="AH17" s="17">
        <f t="shared" si="14"/>
        <v>1627.9733568767258</v>
      </c>
      <c r="AI17" s="17">
        <f t="shared" si="15"/>
        <v>1.0481619090353292E-2</v>
      </c>
      <c r="AJ17" s="17">
        <f t="shared" ref="AJ17:AJ23" si="23">$G$32*$G$9*$G$29/$G$33</f>
        <v>60280.915290654404</v>
      </c>
      <c r="AK17" s="17">
        <f t="shared" ref="AK17:AK23" si="24">0.046*($G$32*$G$9*$G$29/$G$33)^(-0.2)</f>
        <v>5.0900478391217368E-3</v>
      </c>
      <c r="AL17" s="17">
        <f t="shared" si="16"/>
        <v>5.2652487228621467</v>
      </c>
      <c r="AM17" s="17">
        <f t="shared" si="17"/>
        <v>5.8602819036631155</v>
      </c>
      <c r="AN17" s="17">
        <f t="shared" si="18"/>
        <v>2.3972727807565965E-2</v>
      </c>
      <c r="AO17" s="17">
        <f t="shared" si="19"/>
        <v>4.2423945228077645E-2</v>
      </c>
      <c r="AP17" s="17">
        <f t="shared" si="22"/>
        <v>311.76905823561714</v>
      </c>
      <c r="AQ17" s="17">
        <f t="shared" si="20"/>
        <v>427.44203884095396</v>
      </c>
      <c r="AR17" s="57">
        <f t="shared" ref="AR17:AR22" si="25">0.5*(AQ17+AQ18)*(Q18-Q17)</f>
        <v>0.22742563264526849</v>
      </c>
      <c r="AS17" s="9"/>
      <c r="AT17" s="10"/>
      <c r="AU17" s="9"/>
    </row>
    <row r="18" spans="5:49" x14ac:dyDescent="0.3">
      <c r="F18" s="16" t="s">
        <v>18</v>
      </c>
      <c r="G18" s="17">
        <f>G17*60/0.3048^3</f>
        <v>2.6308161056814852</v>
      </c>
      <c r="H18" s="18" t="s">
        <v>20</v>
      </c>
      <c r="Q18" s="55">
        <v>1.074356652798078E-3</v>
      </c>
      <c r="R18" s="56">
        <v>2.960489369334289E-2</v>
      </c>
      <c r="S18" s="17">
        <f t="shared" si="21"/>
        <v>0.77703133053393414</v>
      </c>
      <c r="T18" s="17">
        <f t="shared" si="0"/>
        <v>0.83374150860704577</v>
      </c>
      <c r="U18" s="17">
        <f t="shared" si="1"/>
        <v>1.5428931274264666</v>
      </c>
      <c r="V18" s="17">
        <f t="shared" si="2"/>
        <v>1.6416486392328526</v>
      </c>
      <c r="W18" s="17">
        <f t="shared" si="3"/>
        <v>0.65481904960819171</v>
      </c>
      <c r="X18" s="17">
        <f t="shared" si="4"/>
        <v>2.1580329039664155</v>
      </c>
      <c r="Y18" s="17">
        <f t="shared" si="5"/>
        <v>1.2137332075051297</v>
      </c>
      <c r="Z18" s="17">
        <f t="shared" si="6"/>
        <v>4.6243235205945442E-2</v>
      </c>
      <c r="AA18" s="17">
        <f t="shared" si="7"/>
        <v>0.1305791137892566</v>
      </c>
      <c r="AB18" s="17">
        <f t="shared" si="8"/>
        <v>0.98355974962337767</v>
      </c>
      <c r="AC18" s="17">
        <f t="shared" si="9"/>
        <v>0.8324749651553448</v>
      </c>
      <c r="AD18" s="17">
        <f t="shared" si="10"/>
        <v>0.28761369532557024</v>
      </c>
      <c r="AE18" s="17">
        <f t="shared" si="11"/>
        <v>1.0958081791904226E-2</v>
      </c>
      <c r="AF18" s="17">
        <f t="shared" si="12"/>
        <v>72605.466247682198</v>
      </c>
      <c r="AG18" s="17">
        <f t="shared" si="13"/>
        <v>4.9041525154274804E-3</v>
      </c>
      <c r="AH18" s="17">
        <f t="shared" si="14"/>
        <v>1724.0632777115311</v>
      </c>
      <c r="AI18" s="17">
        <f t="shared" si="15"/>
        <v>1.0362085975784375E-2</v>
      </c>
      <c r="AJ18" s="17">
        <f t="shared" si="23"/>
        <v>60280.915290654404</v>
      </c>
      <c r="AK18" s="17">
        <f t="shared" si="24"/>
        <v>5.0900478391217368E-3</v>
      </c>
      <c r="AL18" s="17">
        <f t="shared" si="16"/>
        <v>5.2652487228621467</v>
      </c>
      <c r="AM18" s="17">
        <f t="shared" si="17"/>
        <v>5.8137851348910132</v>
      </c>
      <c r="AN18" s="17">
        <f t="shared" si="18"/>
        <v>2.4655045794311561E-2</v>
      </c>
      <c r="AO18" s="17">
        <f t="shared" si="19"/>
        <v>4.2423945228077645E-2</v>
      </c>
      <c r="AP18" s="17">
        <f t="shared" si="22"/>
        <v>311.76905823561714</v>
      </c>
      <c r="AQ18" s="17">
        <f t="shared" si="20"/>
        <v>420.0884890678791</v>
      </c>
      <c r="AR18" s="57">
        <f t="shared" si="25"/>
        <v>0.35903504977022765</v>
      </c>
      <c r="AS18" s="9"/>
      <c r="AT18" s="10"/>
      <c r="AU18" s="9"/>
    </row>
    <row r="19" spans="5:49" x14ac:dyDescent="0.3">
      <c r="F19" s="16" t="s">
        <v>14</v>
      </c>
      <c r="G19" s="17">
        <f>28.9645</f>
        <v>28.964500000000001</v>
      </c>
      <c r="H19" s="18"/>
      <c r="Q19" s="55">
        <v>1.938664676831727E-3</v>
      </c>
      <c r="R19" s="56">
        <v>2.9188954002425927E-2</v>
      </c>
      <c r="S19" s="17">
        <f t="shared" si="21"/>
        <v>0.76611427827889567</v>
      </c>
      <c r="T19" s="17">
        <f t="shared" si="0"/>
        <v>0.82207098061818329</v>
      </c>
      <c r="U19" s="17">
        <f t="shared" si="1"/>
        <v>1.5334960451160984</v>
      </c>
      <c r="V19" s="17">
        <f t="shared" si="2"/>
        <v>1.6785877497167878</v>
      </c>
      <c r="W19" s="17">
        <f t="shared" si="3"/>
        <v>0.64565303835986054</v>
      </c>
      <c r="X19" s="17">
        <f t="shared" si="4"/>
        <v>2.1320270791315328</v>
      </c>
      <c r="Y19" s="17">
        <f t="shared" si="5"/>
        <v>1.2113411591805168</v>
      </c>
      <c r="Z19" s="17">
        <f t="shared" si="6"/>
        <v>4.6152098164777694E-2</v>
      </c>
      <c r="AA19" s="17">
        <f t="shared" si="7"/>
        <v>0.13974512503758774</v>
      </c>
      <c r="AB19" s="17">
        <f t="shared" si="8"/>
        <v>1.0095655744582603</v>
      </c>
      <c r="AC19" s="17">
        <f t="shared" si="9"/>
        <v>0.84660071083386756</v>
      </c>
      <c r="AD19" s="17">
        <f t="shared" si="10"/>
        <v>0.30114785759206764</v>
      </c>
      <c r="AE19" s="17">
        <f t="shared" si="11"/>
        <v>1.1473733374257777E-2</v>
      </c>
      <c r="AF19" s="17">
        <f t="shared" si="12"/>
        <v>72021.037627231184</v>
      </c>
      <c r="AG19" s="17">
        <f t="shared" si="13"/>
        <v>4.9120859446748445E-3</v>
      </c>
      <c r="AH19" s="17">
        <f t="shared" si="14"/>
        <v>1845.8111099838291</v>
      </c>
      <c r="AI19" s="17">
        <f t="shared" si="15"/>
        <v>1.0221635274998047E-2</v>
      </c>
      <c r="AJ19" s="17">
        <f t="shared" si="23"/>
        <v>60280.915290654404</v>
      </c>
      <c r="AK19" s="17">
        <f t="shared" si="24"/>
        <v>5.0900478391217368E-3</v>
      </c>
      <c r="AL19" s="17">
        <f t="shared" si="16"/>
        <v>5.2652487228621467</v>
      </c>
      <c r="AM19" s="17">
        <f t="shared" si="17"/>
        <v>5.7524731135665741</v>
      </c>
      <c r="AN19" s="17">
        <f t="shared" si="18"/>
        <v>2.5427676602459887E-2</v>
      </c>
      <c r="AO19" s="17">
        <f t="shared" si="19"/>
        <v>4.2423945228077645E-2</v>
      </c>
      <c r="AP19" s="17">
        <f t="shared" si="22"/>
        <v>311.76905823561714</v>
      </c>
      <c r="AQ19" s="17">
        <f t="shared" si="20"/>
        <v>410.71497401844721</v>
      </c>
      <c r="AR19" s="57">
        <f t="shared" si="25"/>
        <v>0.49940963793166832</v>
      </c>
      <c r="AS19" s="9"/>
      <c r="AT19" s="10"/>
      <c r="AU19" s="9"/>
    </row>
    <row r="20" spans="5:49" x14ac:dyDescent="0.3">
      <c r="F20" s="16" t="s">
        <v>10</v>
      </c>
      <c r="G20" s="17">
        <v>101325</v>
      </c>
      <c r="H20" s="18"/>
      <c r="Q20" s="55">
        <v>3.1701245352735836E-3</v>
      </c>
      <c r="R20" s="56">
        <v>2.8728022512998549E-2</v>
      </c>
      <c r="S20" s="17">
        <f t="shared" si="21"/>
        <v>0.75401633892384634</v>
      </c>
      <c r="T20" s="17">
        <f t="shared" si="0"/>
        <v>0.8089155949504474</v>
      </c>
      <c r="U20" s="17">
        <f t="shared" si="1"/>
        <v>1.5225782654227604</v>
      </c>
      <c r="V20" s="17">
        <f t="shared" si="2"/>
        <v>1.7148168963243713</v>
      </c>
      <c r="W20" s="17">
        <f t="shared" si="3"/>
        <v>0.63532082261763578</v>
      </c>
      <c r="X20" s="17">
        <f t="shared" si="4"/>
        <v>2.1036955436080551</v>
      </c>
      <c r="Y20" s="17">
        <f t="shared" si="5"/>
        <v>1.2080090668024992</v>
      </c>
      <c r="Z20" s="17">
        <f t="shared" si="6"/>
        <v>4.602514544517522E-2</v>
      </c>
      <c r="AA20" s="17">
        <f t="shared" si="7"/>
        <v>0.1500773407798125</v>
      </c>
      <c r="AB20" s="17">
        <f t="shared" si="8"/>
        <v>1.037897109981738</v>
      </c>
      <c r="AC20" s="17">
        <f t="shared" si="9"/>
        <v>0.86133779566375845</v>
      </c>
      <c r="AD20" s="17">
        <f t="shared" si="10"/>
        <v>0.3160795756937827</v>
      </c>
      <c r="AE20" s="17">
        <f t="shared" si="11"/>
        <v>1.2042631833933122E-2</v>
      </c>
      <c r="AF20" s="17">
        <f t="shared" si="12"/>
        <v>71311.580135548327</v>
      </c>
      <c r="AG20" s="17">
        <f t="shared" si="13"/>
        <v>4.9218210542399665E-3</v>
      </c>
      <c r="AH20" s="17">
        <f t="shared" si="14"/>
        <v>1979.1450121862183</v>
      </c>
      <c r="AI20" s="17">
        <f t="shared" si="15"/>
        <v>1.0080041228948736E-2</v>
      </c>
      <c r="AJ20" s="17">
        <f t="shared" si="23"/>
        <v>60280.915290654404</v>
      </c>
      <c r="AK20" s="17">
        <f t="shared" si="24"/>
        <v>5.0900478391217368E-3</v>
      </c>
      <c r="AL20" s="17">
        <f t="shared" si="16"/>
        <v>5.2652487228621467</v>
      </c>
      <c r="AM20" s="17">
        <f t="shared" si="17"/>
        <v>5.6820937092782984</v>
      </c>
      <c r="AN20" s="17">
        <f t="shared" si="18"/>
        <v>2.6169535648491997E-2</v>
      </c>
      <c r="AO20" s="17">
        <f t="shared" si="19"/>
        <v>4.2423945228077645E-2</v>
      </c>
      <c r="AP20" s="17">
        <f t="shared" si="22"/>
        <v>311.76905823561714</v>
      </c>
      <c r="AQ20" s="17">
        <f t="shared" si="20"/>
        <v>400.37055915282832</v>
      </c>
      <c r="AR20" s="57">
        <f t="shared" si="25"/>
        <v>0.73072013050697604</v>
      </c>
      <c r="AS20" s="9"/>
      <c r="AT20" s="10"/>
      <c r="AU20" s="9"/>
    </row>
    <row r="21" spans="5:49" x14ac:dyDescent="0.3">
      <c r="F21" s="16" t="s">
        <v>11</v>
      </c>
      <c r="G21" s="17">
        <v>294.26100000000002</v>
      </c>
      <c r="H21" s="18"/>
      <c r="Q21" s="55">
        <v>5.0227807048780441E-3</v>
      </c>
      <c r="R21" s="56">
        <v>2.8195833327962019E-2</v>
      </c>
      <c r="S21" s="17">
        <f t="shared" si="21"/>
        <v>0.74004811884414745</v>
      </c>
      <c r="T21" s="17">
        <f t="shared" si="0"/>
        <v>0.79345384198533764</v>
      </c>
      <c r="U21" s="17">
        <f t="shared" si="1"/>
        <v>1.5092836088668569</v>
      </c>
      <c r="V21" s="17">
        <f t="shared" si="2"/>
        <v>1.7514980438878518</v>
      </c>
      <c r="W21" s="17">
        <f t="shared" si="3"/>
        <v>0.62317719023593354</v>
      </c>
      <c r="X21" s="17">
        <f t="shared" si="4"/>
        <v>2.0715607440141932</v>
      </c>
      <c r="Y21" s="17">
        <f t="shared" si="5"/>
        <v>1.2032998637121575</v>
      </c>
      <c r="Z21" s="17">
        <f t="shared" si="6"/>
        <v>4.5845724807433201E-2</v>
      </c>
      <c r="AA21" s="17">
        <f t="shared" si="7"/>
        <v>0.16222097316151485</v>
      </c>
      <c r="AB21" s="17">
        <f t="shared" si="8"/>
        <v>1.0700319095756001</v>
      </c>
      <c r="AC21" s="17">
        <f t="shared" si="9"/>
        <v>0.87721582438847068</v>
      </c>
      <c r="AD21" s="17">
        <f t="shared" si="10"/>
        <v>0.3332312994018008</v>
      </c>
      <c r="AE21" s="17">
        <f t="shared" si="11"/>
        <v>1.2696112507208611E-2</v>
      </c>
      <c r="AF21" s="17">
        <f t="shared" si="12"/>
        <v>70413.342859075783</v>
      </c>
      <c r="AG21" s="17">
        <f t="shared" si="13"/>
        <v>4.9343146398376494E-3</v>
      </c>
      <c r="AH21" s="17">
        <f t="shared" si="14"/>
        <v>2131.1738160774007</v>
      </c>
      <c r="AI21" s="17">
        <f t="shared" si="15"/>
        <v>9.9319393155561288E-3</v>
      </c>
      <c r="AJ21" s="17">
        <f t="shared" si="23"/>
        <v>60280.915290654404</v>
      </c>
      <c r="AK21" s="17">
        <f t="shared" si="24"/>
        <v>5.0900478391217368E-3</v>
      </c>
      <c r="AL21" s="17">
        <f t="shared" si="16"/>
        <v>5.2652487228621467</v>
      </c>
      <c r="AM21" s="17">
        <f t="shared" si="17"/>
        <v>5.5974712328520262</v>
      </c>
      <c r="AN21" s="17">
        <f t="shared" si="18"/>
        <v>2.6899956065902605E-2</v>
      </c>
      <c r="AO21" s="17">
        <f t="shared" si="19"/>
        <v>4.2423945228077645E-2</v>
      </c>
      <c r="AP21" s="17">
        <f t="shared" si="22"/>
        <v>311.76905823561714</v>
      </c>
      <c r="AQ21" s="17">
        <f t="shared" si="20"/>
        <v>388.46456578347733</v>
      </c>
      <c r="AR21" s="57">
        <f t="shared" si="25"/>
        <v>0.85730278201985377</v>
      </c>
      <c r="AS21" s="9"/>
      <c r="AT21" s="10"/>
      <c r="AU21" s="9"/>
    </row>
    <row r="22" spans="5:49" x14ac:dyDescent="0.3">
      <c r="F22" s="16" t="s">
        <v>12</v>
      </c>
      <c r="G22" s="17">
        <v>8314.4621750000006</v>
      </c>
      <c r="H22" s="18" t="s">
        <v>13</v>
      </c>
      <c r="Q22" s="55">
        <v>7.2617299040995068E-3</v>
      </c>
      <c r="R22" s="56">
        <v>2.7697886819736641E-2</v>
      </c>
      <c r="S22" s="17">
        <f t="shared" si="21"/>
        <v>0.72697865668600103</v>
      </c>
      <c r="T22" s="17">
        <f t="shared" si="0"/>
        <v>0.77874022913956986</v>
      </c>
      <c r="U22" s="17">
        <f t="shared" si="1"/>
        <v>1.496142006741235</v>
      </c>
      <c r="V22" s="17">
        <f t="shared" si="2"/>
        <v>1.7816438078560333</v>
      </c>
      <c r="W22" s="17">
        <f t="shared" si="3"/>
        <v>0.61162114572992643</v>
      </c>
      <c r="X22" s="17">
        <f t="shared" si="4"/>
        <v>2.0419979792557452</v>
      </c>
      <c r="Y22" s="17">
        <f t="shared" si="5"/>
        <v>1.1980837433597193</v>
      </c>
      <c r="Z22" s="17">
        <f t="shared" si="6"/>
        <v>4.5646990622005307E-2</v>
      </c>
      <c r="AA22" s="17">
        <f t="shared" si="7"/>
        <v>0.17377701766752193</v>
      </c>
      <c r="AB22" s="17">
        <f t="shared" si="8"/>
        <v>1.0995946743340481</v>
      </c>
      <c r="AC22" s="17">
        <f t="shared" si="9"/>
        <v>0.89102343270874418</v>
      </c>
      <c r="AD22" s="17">
        <f t="shared" si="10"/>
        <v>0.34919207667749047</v>
      </c>
      <c r="AE22" s="17">
        <f t="shared" si="11"/>
        <v>1.3304218121412388E-2</v>
      </c>
      <c r="AF22" s="17">
        <f t="shared" si="12"/>
        <v>69497.667957960846</v>
      </c>
      <c r="AG22" s="17">
        <f t="shared" si="13"/>
        <v>4.9472491815101011E-3</v>
      </c>
      <c r="AH22" s="17">
        <f t="shared" si="14"/>
        <v>2271.6880427104393</v>
      </c>
      <c r="AI22" s="17">
        <f t="shared" si="15"/>
        <v>9.8059142979574736E-3</v>
      </c>
      <c r="AJ22" s="17">
        <f t="shared" si="23"/>
        <v>60280.915290654404</v>
      </c>
      <c r="AK22" s="17">
        <f t="shared" si="24"/>
        <v>5.0900478391217368E-3</v>
      </c>
      <c r="AL22" s="17">
        <f t="shared" si="16"/>
        <v>5.2652487228621467</v>
      </c>
      <c r="AM22" s="17">
        <f t="shared" si="17"/>
        <v>5.5148377372897377</v>
      </c>
      <c r="AN22" s="17">
        <f t="shared" si="18"/>
        <v>2.7480716950738251E-2</v>
      </c>
      <c r="AO22" s="17">
        <f t="shared" si="19"/>
        <v>4.2423945228077645E-2</v>
      </c>
      <c r="AP22" s="17">
        <f t="shared" si="22"/>
        <v>311.76905823561714</v>
      </c>
      <c r="AQ22" s="17">
        <f t="shared" si="20"/>
        <v>377.34359307779471</v>
      </c>
      <c r="AR22" s="57">
        <f t="shared" si="25"/>
        <v>1.6100890336106299</v>
      </c>
      <c r="AS22" s="12"/>
      <c r="AT22" s="37"/>
      <c r="AU22" s="9"/>
    </row>
    <row r="23" spans="5:49" ht="15" thickBot="1" x14ac:dyDescent="0.35">
      <c r="F23" s="16" t="s">
        <v>9</v>
      </c>
      <c r="G23" s="64">
        <v>1.7657458563535902</v>
      </c>
      <c r="H23" s="18" t="s">
        <v>24</v>
      </c>
      <c r="Q23" s="58">
        <v>1.1622518976275933E-2</v>
      </c>
      <c r="R23" s="59">
        <v>2.697037792272677E-2</v>
      </c>
      <c r="S23" s="17">
        <f t="shared" si="21"/>
        <v>0.70788393497970525</v>
      </c>
      <c r="T23" s="60">
        <f t="shared" si="0"/>
        <v>0.75684923459067954</v>
      </c>
      <c r="U23" s="60">
        <f t="shared" si="1"/>
        <v>1.4756442292653393</v>
      </c>
      <c r="V23" s="60">
        <f t="shared" si="2"/>
        <v>1.8197428399768842</v>
      </c>
      <c r="W23" s="60">
        <f t="shared" si="3"/>
        <v>0.59442799881628439</v>
      </c>
      <c r="X23" s="60">
        <f t="shared" si="4"/>
        <v>1.9995832711576189</v>
      </c>
      <c r="Y23" s="60">
        <f t="shared" si="5"/>
        <v>1.1891037645502047</v>
      </c>
      <c r="Z23" s="60">
        <f t="shared" si="6"/>
        <v>4.5304853429362801E-2</v>
      </c>
      <c r="AA23" s="60">
        <f t="shared" si="7"/>
        <v>0.19097016458116392</v>
      </c>
      <c r="AB23" s="60">
        <f t="shared" si="8"/>
        <v>1.1420093824321742</v>
      </c>
      <c r="AC23" s="60">
        <f t="shared" si="9"/>
        <v>0.90947076825449136</v>
      </c>
      <c r="AD23" s="60">
        <f t="shared" si="10"/>
        <v>0.37235586123949177</v>
      </c>
      <c r="AE23" s="60">
        <f t="shared" si="11"/>
        <v>1.4186758313224638E-2</v>
      </c>
      <c r="AF23" s="60">
        <f t="shared" si="12"/>
        <v>68031.752355722696</v>
      </c>
      <c r="AG23" s="60">
        <f t="shared" si="13"/>
        <v>4.9683879540548571E-3</v>
      </c>
      <c r="AH23" s="60">
        <f t="shared" si="14"/>
        <v>2474.1819952620272</v>
      </c>
      <c r="AI23" s="60">
        <f t="shared" si="15"/>
        <v>9.6398772371645292E-3</v>
      </c>
      <c r="AJ23" s="60">
        <f t="shared" si="23"/>
        <v>60280.915290654404</v>
      </c>
      <c r="AK23" s="60">
        <f t="shared" si="24"/>
        <v>5.0900478391217368E-3</v>
      </c>
      <c r="AL23" s="60">
        <f t="shared" si="16"/>
        <v>5.2652487228621467</v>
      </c>
      <c r="AM23" s="60">
        <f t="shared" si="17"/>
        <v>5.3876844019073014</v>
      </c>
      <c r="AN23" s="60">
        <f t="shared" si="18"/>
        <v>2.8183163613135616E-2</v>
      </c>
      <c r="AO23" s="60">
        <f t="shared" si="19"/>
        <v>4.2423945228077645E-2</v>
      </c>
      <c r="AP23" s="60">
        <f t="shared" si="22"/>
        <v>311.76905823561714</v>
      </c>
      <c r="AQ23" s="60">
        <f t="shared" si="20"/>
        <v>361.09571547929193</v>
      </c>
      <c r="AR23" s="61"/>
      <c r="AU23" s="9"/>
    </row>
    <row r="24" spans="5:49" ht="18.600000000000001" thickTop="1" thickBot="1" x14ac:dyDescent="0.4">
      <c r="F24" s="19" t="s">
        <v>15</v>
      </c>
      <c r="G24" s="65">
        <v>1.8424246818107536E-5</v>
      </c>
      <c r="H24" s="21" t="s">
        <v>16</v>
      </c>
      <c r="Q24" s="38">
        <v>1.7911465157442092E-2</v>
      </c>
      <c r="R24" s="39">
        <v>2.6212416281697511E-2</v>
      </c>
      <c r="S24" s="17">
        <f t="shared" si="21"/>
        <v>0.68798992865347797</v>
      </c>
      <c r="T24" s="60">
        <f>cal_hltb(S24)</f>
        <v>0.73359088041777032</v>
      </c>
      <c r="U24" s="60">
        <f t="shared" si="1"/>
        <v>1.4525257667739448</v>
      </c>
      <c r="AD24" s="2"/>
      <c r="AJ24" s="9"/>
      <c r="AK24" s="9"/>
      <c r="AL24" s="9"/>
      <c r="AM24" s="12"/>
      <c r="AN24" s="42"/>
      <c r="AO24" s="43"/>
      <c r="AP24" s="43"/>
      <c r="AQ24" s="43" t="s">
        <v>141</v>
      </c>
      <c r="AR24" s="43">
        <f>SUM(AR15:AR22)</f>
        <v>4.5163577570293958</v>
      </c>
      <c r="AS24" s="44"/>
      <c r="AT24" s="45"/>
      <c r="AU24" s="9"/>
    </row>
    <row r="25" spans="5:49" ht="18" thickBot="1" x14ac:dyDescent="0.4">
      <c r="F25" s="22" t="s">
        <v>152</v>
      </c>
      <c r="G25" s="23"/>
      <c r="H25" s="24"/>
      <c r="Q25" s="38">
        <v>2.8449225311890911E-2</v>
      </c>
      <c r="R25" s="39">
        <v>2.5311594598274027E-2</v>
      </c>
      <c r="S25" s="17">
        <f t="shared" si="21"/>
        <v>0.66434631491532881</v>
      </c>
      <c r="T25" s="60">
        <f t="shared" si="0"/>
        <v>0.70542078245877338</v>
      </c>
      <c r="U25" s="60">
        <f t="shared" si="1"/>
        <v>1.4224837246277489</v>
      </c>
      <c r="AD25" s="2"/>
      <c r="AJ25" s="9"/>
      <c r="AK25" s="9"/>
      <c r="AL25" s="9"/>
      <c r="AM25" s="12"/>
      <c r="AN25" s="42" t="s">
        <v>156</v>
      </c>
      <c r="AO25" s="43"/>
      <c r="AP25" s="43"/>
      <c r="AQ25" s="46" t="s">
        <v>149</v>
      </c>
      <c r="AR25" s="46"/>
      <c r="AS25" s="43">
        <f>AR24+AP23+AO23</f>
        <v>316.32783993787456</v>
      </c>
      <c r="AT25" s="47" t="s">
        <v>150</v>
      </c>
      <c r="AU25" s="9"/>
    </row>
    <row r="26" spans="5:49" ht="18" thickBot="1" x14ac:dyDescent="0.4">
      <c r="F26" s="13" t="s">
        <v>21</v>
      </c>
      <c r="G26" s="14">
        <f>G14*G11*G9/G15</f>
        <v>18233.009084522597</v>
      </c>
      <c r="H26" s="15"/>
      <c r="P26" s="2"/>
      <c r="Q26" s="38">
        <v>4.5405138051288485E-2</v>
      </c>
      <c r="R26" s="39">
        <v>2.4313605087939696E-2</v>
      </c>
      <c r="S26" s="17">
        <f t="shared" si="21"/>
        <v>0.63815236451285284</v>
      </c>
      <c r="T26" s="60">
        <f t="shared" si="0"/>
        <v>0.67363652305240584</v>
      </c>
      <c r="U26" s="60">
        <f t="shared" si="1"/>
        <v>1.3855705422356612</v>
      </c>
      <c r="AD26" s="2"/>
      <c r="AJ26" s="9"/>
      <c r="AK26" s="9"/>
      <c r="AL26" s="9"/>
      <c r="AM26" s="12"/>
      <c r="AN26" s="48"/>
      <c r="AO26" s="49"/>
      <c r="AP26" s="49"/>
      <c r="AQ26" s="50"/>
      <c r="AR26" s="50"/>
      <c r="AS26" s="49">
        <f>AS25/6894.76</f>
        <v>4.5879456273731724E-2</v>
      </c>
      <c r="AT26" s="51" t="s">
        <v>151</v>
      </c>
      <c r="AU26" s="9"/>
    </row>
    <row r="27" spans="5:49" ht="15.6" thickTop="1" thickBot="1" x14ac:dyDescent="0.35">
      <c r="F27" s="16" t="s">
        <v>25</v>
      </c>
      <c r="G27" s="17">
        <f>G23*G16*G9/G24</f>
        <v>3976.5616998416535</v>
      </c>
      <c r="H27" s="18"/>
      <c r="I27" s="2"/>
      <c r="P27" s="2"/>
      <c r="Q27" s="40">
        <v>7.4306236690819677E-2</v>
      </c>
      <c r="R27" s="41">
        <v>2.3176983832164731E-2</v>
      </c>
      <c r="S27" s="17">
        <f t="shared" si="21"/>
        <v>0.60831978562112154</v>
      </c>
      <c r="T27" s="60">
        <f t="shared" si="0"/>
        <v>0.63683050635060379</v>
      </c>
      <c r="U27" s="60">
        <f t="shared" si="1"/>
        <v>1.3382213470191657</v>
      </c>
      <c r="AB27" s="2"/>
      <c r="AE27" s="2"/>
      <c r="AU27" s="9"/>
      <c r="AV27" s="9"/>
      <c r="AW27" s="9"/>
    </row>
    <row r="28" spans="5:49" x14ac:dyDescent="0.3">
      <c r="F28" s="16" t="s">
        <v>158</v>
      </c>
      <c r="G28" s="17">
        <f>G12*G14</f>
        <v>0.53400000000000003</v>
      </c>
      <c r="H28" s="18"/>
      <c r="I28">
        <v>0.52486321710178341</v>
      </c>
      <c r="M28" s="56"/>
      <c r="P28" s="2"/>
      <c r="Q28">
        <v>0.12355466180157912</v>
      </c>
      <c r="R28">
        <v>2.1926979957191804E-2</v>
      </c>
      <c r="S28" s="17">
        <f t="shared" si="21"/>
        <v>0.57551128496566417</v>
      </c>
      <c r="T28" s="60">
        <f t="shared" si="0"/>
        <v>0.59577722116991405</v>
      </c>
      <c r="U28" s="60">
        <f t="shared" si="1"/>
        <v>1.2785063479067418</v>
      </c>
      <c r="V28" s="9"/>
      <c r="W28" s="9"/>
      <c r="X28" s="9"/>
      <c r="Y28" s="9"/>
      <c r="Z28" s="9"/>
      <c r="AA28" s="11"/>
      <c r="AB28" s="11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5:49" x14ac:dyDescent="0.3">
      <c r="F29" s="16" t="s">
        <v>27</v>
      </c>
      <c r="G29" s="17">
        <f>G11+G16</f>
        <v>1.5593120698361354</v>
      </c>
      <c r="H29" s="18" t="s">
        <v>5</v>
      </c>
      <c r="M29" s="56"/>
      <c r="Q29">
        <v>0.21076349051348162</v>
      </c>
      <c r="R29">
        <v>2.0551789573730481E-2</v>
      </c>
      <c r="S29" s="17">
        <f>R29/$G$9</f>
        <v>0.53941704917927769</v>
      </c>
      <c r="T29" s="60">
        <f>cal_hltb(S29)</f>
        <v>0.550135313004396</v>
      </c>
      <c r="U29" s="60">
        <f t="shared" si="1"/>
        <v>1.2016546188033215</v>
      </c>
      <c r="V29" s="9"/>
      <c r="W29" s="10"/>
      <c r="X29" s="9"/>
      <c r="Y29" s="9"/>
      <c r="Z29" s="10"/>
      <c r="AA29" s="9"/>
      <c r="AB29" s="9"/>
      <c r="AC29" s="9"/>
      <c r="AD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5:49" x14ac:dyDescent="0.3">
      <c r="F30" s="16" t="s">
        <v>26</v>
      </c>
      <c r="G30" s="17">
        <f>G14*G29*G9/G15</f>
        <v>60456.53888463277</v>
      </c>
      <c r="H30" s="18" t="s">
        <v>28</v>
      </c>
      <c r="M30" s="56"/>
      <c r="Q30" s="67">
        <v>0.36580680625731399</v>
      </c>
      <c r="R30" s="67">
        <v>1.9093357545023372E-2</v>
      </c>
      <c r="S30" s="17">
        <f>R30/$G$9</f>
        <v>0.50113799330770004</v>
      </c>
      <c r="T30" s="60">
        <f t="shared" si="0"/>
        <v>0.50144893683006186</v>
      </c>
      <c r="U30" s="60">
        <f t="shared" si="1"/>
        <v>1.1042556227560645</v>
      </c>
      <c r="V30" s="9"/>
      <c r="W30" s="9"/>
      <c r="X30" s="9"/>
      <c r="Y30" s="9"/>
      <c r="Z30" s="10"/>
      <c r="AA30" s="9"/>
      <c r="AB30" s="9"/>
      <c r="AC30" s="9"/>
      <c r="AD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5:49" x14ac:dyDescent="0.3">
      <c r="E31" t="s">
        <v>30</v>
      </c>
      <c r="F31" s="16" t="s">
        <v>29</v>
      </c>
      <c r="G31" s="17">
        <f>EXP(-(7.85*10^-3*G8+2.48*10^-6*G30))</f>
        <v>0.85403575666930343</v>
      </c>
      <c r="H31" s="18" t="s">
        <v>28</v>
      </c>
      <c r="M31" s="56"/>
      <c r="Q31">
        <v>0.65049262208225511</v>
      </c>
      <c r="R31">
        <v>1.7564093384822274E-2</v>
      </c>
      <c r="S31" t="s">
        <v>157</v>
      </c>
      <c r="T31" s="60"/>
      <c r="U31" s="60"/>
      <c r="V31" s="9"/>
      <c r="W31" s="9"/>
      <c r="X31" s="9"/>
      <c r="Y31" s="9"/>
      <c r="Z31" s="10"/>
      <c r="AA31" s="9"/>
      <c r="AB31" s="9"/>
      <c r="AC31" s="9"/>
      <c r="AD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5:49" x14ac:dyDescent="0.3">
      <c r="F32" s="16" t="s">
        <v>33</v>
      </c>
      <c r="G32" s="17">
        <f>G14*G31+G23*(1-G31)</f>
        <v>850.86555332647754</v>
      </c>
      <c r="H32" s="18" t="s">
        <v>24</v>
      </c>
      <c r="M32" s="56"/>
      <c r="Q32">
        <v>1.1045698450671053</v>
      </c>
      <c r="R32">
        <v>1.6181695503869005E-2</v>
      </c>
      <c r="T32" s="9"/>
      <c r="U32" s="9"/>
      <c r="V32" s="9"/>
      <c r="W32" s="9"/>
      <c r="X32" s="9"/>
      <c r="Y32" s="9"/>
      <c r="Z32" s="10"/>
      <c r="AA32" s="9"/>
      <c r="AB32" s="9"/>
      <c r="AC32" s="9"/>
      <c r="AD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58" x14ac:dyDescent="0.3">
      <c r="F33" s="16" t="s">
        <v>34</v>
      </c>
      <c r="G33" s="17">
        <f>G15*G31+G24*(1-G31)</f>
        <v>8.3856961161171163E-4</v>
      </c>
      <c r="H33" s="18" t="s">
        <v>16</v>
      </c>
      <c r="M33" s="56"/>
      <c r="Q33">
        <v>1.1735698450671055</v>
      </c>
      <c r="R33" s="63">
        <v>1.6026905226079947E-2</v>
      </c>
      <c r="S33" s="63"/>
      <c r="T33" s="9"/>
      <c r="U33" s="9"/>
      <c r="V33" s="9"/>
      <c r="W33" s="9"/>
      <c r="X33" s="9"/>
      <c r="Y33" s="9"/>
      <c r="Z33" s="10"/>
      <c r="AA33" s="9"/>
      <c r="AB33" s="9"/>
      <c r="AC33" s="9"/>
      <c r="AD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58" x14ac:dyDescent="0.3">
      <c r="E34" t="s">
        <v>36</v>
      </c>
      <c r="F34" s="16" t="s">
        <v>35</v>
      </c>
      <c r="G34" s="17">
        <v>1.2</v>
      </c>
      <c r="H34" s="18"/>
      <c r="M34" s="56"/>
      <c r="T34" s="9"/>
      <c r="U34" s="9"/>
      <c r="V34" s="9"/>
      <c r="W34" s="9"/>
      <c r="X34" s="9"/>
      <c r="Y34" s="9"/>
      <c r="Z34" s="10"/>
      <c r="AA34" s="9"/>
      <c r="AB34" s="9"/>
      <c r="AC34" s="9"/>
      <c r="AD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58" x14ac:dyDescent="0.3">
      <c r="E35" t="s">
        <v>38</v>
      </c>
      <c r="F35" s="16" t="s">
        <v>37</v>
      </c>
      <c r="G35" s="17">
        <f>G34*G29+0.54*(G6*G9)^0.5*COS(G7)+0.35*(G6*G9)^0.5*SIN(G7)</f>
        <v>2.2048227913805118</v>
      </c>
      <c r="H35" s="18" t="s">
        <v>5</v>
      </c>
      <c r="M35" s="56"/>
      <c r="T35" s="9"/>
      <c r="U35" s="9"/>
      <c r="V35" s="9"/>
      <c r="W35" s="9"/>
      <c r="X35" s="9"/>
      <c r="Y35" s="9"/>
      <c r="Z35" s="10"/>
      <c r="AA35" s="9"/>
      <c r="AB35" s="9"/>
      <c r="AC35" s="9"/>
      <c r="AD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58" x14ac:dyDescent="0.3">
      <c r="A36" t="s">
        <v>85</v>
      </c>
      <c r="B36" t="s">
        <v>86</v>
      </c>
      <c r="C36" t="s">
        <v>87</v>
      </c>
      <c r="E36" t="s">
        <v>42</v>
      </c>
      <c r="F36" s="16" t="s">
        <v>43</v>
      </c>
      <c r="G36" s="17">
        <f>(G35-G29)*G14*G10*G31</f>
        <v>0.62599759189673154</v>
      </c>
      <c r="H36" s="18" t="s">
        <v>44</v>
      </c>
      <c r="M36" s="59"/>
      <c r="T36" s="9"/>
      <c r="U36" s="9"/>
      <c r="V36" s="9"/>
      <c r="W36" s="9"/>
      <c r="X36" s="9"/>
      <c r="Y36" s="9"/>
      <c r="Z36" s="10"/>
      <c r="AA36" s="9"/>
      <c r="AB36" s="9"/>
      <c r="AC36" s="9"/>
      <c r="AD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58" x14ac:dyDescent="0.3">
      <c r="A37">
        <v>5</v>
      </c>
      <c r="B37">
        <v>1.016</v>
      </c>
      <c r="C37">
        <v>-1.0787943690214279</v>
      </c>
      <c r="D37" s="3"/>
      <c r="E37" t="s">
        <v>46</v>
      </c>
      <c r="F37" s="16" t="s">
        <v>45</v>
      </c>
      <c r="G37" s="17">
        <f>G31*G9</f>
        <v>3.2538762329100461E-2</v>
      </c>
      <c r="H37" s="18" t="s">
        <v>1</v>
      </c>
      <c r="T37" s="9"/>
      <c r="U37" s="9"/>
      <c r="V37" s="9"/>
      <c r="W37" s="9"/>
      <c r="X37" s="9"/>
      <c r="Y37" s="9"/>
      <c r="Z37" s="10"/>
      <c r="AA37" s="9"/>
      <c r="AB37" s="9"/>
      <c r="AC37" s="12"/>
      <c r="AD37" s="12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58" x14ac:dyDescent="0.3">
      <c r="A38">
        <v>1</v>
      </c>
      <c r="B38">
        <v>0.76200000000000001</v>
      </c>
      <c r="C38">
        <v>-1.0093550362162642</v>
      </c>
      <c r="F38" s="16" t="s">
        <v>47</v>
      </c>
      <c r="G38" s="17">
        <f>G35-G29</f>
        <v>0.6455107215443765</v>
      </c>
      <c r="H38" s="18"/>
      <c r="S38" t="s">
        <v>174</v>
      </c>
      <c r="T38" s="17">
        <v>0.78847347066568618</v>
      </c>
      <c r="U38" t="s">
        <v>174</v>
      </c>
      <c r="V38" s="17">
        <v>0.7794832177885358</v>
      </c>
      <c r="W38" t="s">
        <v>174</v>
      </c>
      <c r="X38" s="17">
        <v>0.797567413583816</v>
      </c>
      <c r="Y38" t="s">
        <v>174</v>
      </c>
      <c r="Z38" s="17">
        <v>0.7845133194037015</v>
      </c>
      <c r="AA38" t="s">
        <v>174</v>
      </c>
      <c r="AB38" s="17">
        <v>0.77928522852746285</v>
      </c>
      <c r="AC38" t="s">
        <v>174</v>
      </c>
      <c r="AD38" s="17">
        <v>0.76808974160450927</v>
      </c>
      <c r="AE38" t="s">
        <v>174</v>
      </c>
      <c r="AF38" s="17">
        <v>0.76672511463195425</v>
      </c>
      <c r="AG38" t="s">
        <v>174</v>
      </c>
      <c r="AH38" s="17">
        <v>0.78897437528259851</v>
      </c>
      <c r="AI38" t="s">
        <v>174</v>
      </c>
      <c r="AJ38" s="17">
        <v>0.78431405249343844</v>
      </c>
      <c r="AK38" t="s">
        <v>174</v>
      </c>
      <c r="AL38" s="17">
        <v>0.78411483619710443</v>
      </c>
      <c r="AM38" t="s">
        <v>174</v>
      </c>
      <c r="AN38" s="17">
        <v>0.78421443801933388</v>
      </c>
      <c r="AO38" t="s">
        <v>174</v>
      </c>
      <c r="AP38" s="17">
        <v>0.79315850833944668</v>
      </c>
      <c r="AQ38" t="s">
        <v>174</v>
      </c>
      <c r="AR38" s="17">
        <v>0.79315850833944668</v>
      </c>
      <c r="AS38" t="s">
        <v>174</v>
      </c>
      <c r="AT38" s="17">
        <v>0.78817308055551094</v>
      </c>
      <c r="AU38" t="s">
        <v>174</v>
      </c>
      <c r="AV38" s="17">
        <v>0.78877397526114468</v>
      </c>
      <c r="AW38" t="s">
        <v>174</v>
      </c>
      <c r="AX38" s="17">
        <v>0.79235296414132306</v>
      </c>
      <c r="AY38" t="s">
        <v>174</v>
      </c>
      <c r="AZ38" s="17">
        <v>0.79235296414132306</v>
      </c>
      <c r="BA38" t="s">
        <v>174</v>
      </c>
      <c r="BB38" s="17"/>
      <c r="BC38" t="s">
        <v>174</v>
      </c>
      <c r="BD38" s="17">
        <v>0.78877397526114468</v>
      </c>
      <c r="BE38" t="s">
        <v>174</v>
      </c>
      <c r="BF38" s="17"/>
    </row>
    <row r="39" spans="1:58" x14ac:dyDescent="0.3">
      <c r="A39">
        <v>2</v>
      </c>
      <c r="B39">
        <v>0.38100000000000001</v>
      </c>
      <c r="C39">
        <v>-0.91944360871169384</v>
      </c>
      <c r="F39" s="16" t="s">
        <v>50</v>
      </c>
      <c r="G39" s="17">
        <v>1</v>
      </c>
      <c r="H39" s="18">
        <f>cal_hcrit(0.5,$G$36,$G$14,$G$6,$G$10,$G$9,$G$7)</f>
        <v>0.84922788579990149</v>
      </c>
      <c r="S39" t="s">
        <v>172</v>
      </c>
      <c r="T39" s="17">
        <v>4.5744476819562179</v>
      </c>
      <c r="U39" t="s">
        <v>172</v>
      </c>
      <c r="V39" s="17">
        <v>4.7891235289893812</v>
      </c>
      <c r="W39" t="s">
        <v>172</v>
      </c>
      <c r="X39" s="17">
        <v>4.3597718349230528</v>
      </c>
      <c r="Y39" t="s">
        <v>172</v>
      </c>
      <c r="Z39" s="17">
        <v>4.6687078472145727</v>
      </c>
      <c r="AA39" t="s">
        <v>172</v>
      </c>
      <c r="AB39" s="17">
        <v>4.7938790774469187</v>
      </c>
      <c r="AC39" t="s">
        <v>172</v>
      </c>
      <c r="AD39" s="17">
        <v>5.0647707020781425</v>
      </c>
      <c r="AE39" t="s">
        <v>172</v>
      </c>
      <c r="AF39" s="17">
        <v>5.098059541280902</v>
      </c>
      <c r="AG39" t="s">
        <v>172</v>
      </c>
      <c r="AH39" s="17">
        <v>4.5625588108123747</v>
      </c>
      <c r="AI39" t="s">
        <v>172</v>
      </c>
      <c r="AJ39" s="17">
        <v>4.6734633956721101</v>
      </c>
      <c r="AK39" t="s">
        <v>172</v>
      </c>
      <c r="AL39" s="17">
        <v>4.6782189441296467</v>
      </c>
      <c r="AM39" t="s">
        <v>172</v>
      </c>
      <c r="AN39" s="17">
        <v>4.6758411699008784</v>
      </c>
      <c r="AO39" t="s">
        <v>172</v>
      </c>
      <c r="AP39" s="17">
        <v>4.4635430970964816</v>
      </c>
      <c r="AQ39" t="s">
        <v>172</v>
      </c>
      <c r="AR39" s="17">
        <v>4.4635430970964816</v>
      </c>
      <c r="AS39" t="s">
        <v>172</v>
      </c>
      <c r="AT39" s="17">
        <v>4.5815810046425227</v>
      </c>
      <c r="AU39" t="s">
        <v>172</v>
      </c>
      <c r="AV39" s="17">
        <v>4.5673143592699121</v>
      </c>
      <c r="AW39" t="s">
        <v>172</v>
      </c>
      <c r="AX39" s="17"/>
      <c r="AY39" t="s">
        <v>172</v>
      </c>
      <c r="AZ39" s="17">
        <v>4.4825652909266305</v>
      </c>
      <c r="BA39" t="s">
        <v>172</v>
      </c>
      <c r="BB39" s="17"/>
      <c r="BC39" t="s">
        <v>172</v>
      </c>
      <c r="BD39" s="17">
        <v>4.5673143592699121</v>
      </c>
      <c r="BE39" t="s">
        <v>172</v>
      </c>
      <c r="BF39" s="17"/>
    </row>
    <row r="40" spans="1:58" x14ac:dyDescent="0.3">
      <c r="A40">
        <v>3</v>
      </c>
      <c r="B40">
        <v>7.619999999999999E-2</v>
      </c>
      <c r="C40">
        <v>-0.85725394505866914</v>
      </c>
      <c r="F40" s="16" t="s">
        <v>51</v>
      </c>
      <c r="G40" s="17">
        <f>G39*G9</f>
        <v>3.8100000000000002E-2</v>
      </c>
      <c r="H40" s="18"/>
      <c r="S40" t="s">
        <v>159</v>
      </c>
      <c r="T40">
        <v>530</v>
      </c>
      <c r="U40" t="s">
        <v>159</v>
      </c>
      <c r="V40">
        <v>535</v>
      </c>
      <c r="W40" t="s">
        <v>159</v>
      </c>
      <c r="X40">
        <v>525</v>
      </c>
      <c r="Y40" t="s">
        <v>159</v>
      </c>
      <c r="Z40">
        <v>527</v>
      </c>
      <c r="AA40" t="s">
        <v>159</v>
      </c>
      <c r="AB40">
        <v>537</v>
      </c>
      <c r="AC40" t="s">
        <v>159</v>
      </c>
      <c r="AD40">
        <v>523</v>
      </c>
      <c r="AE40" t="s">
        <v>159</v>
      </c>
      <c r="AF40">
        <v>527</v>
      </c>
      <c r="AG40" t="s">
        <v>159</v>
      </c>
      <c r="AH40">
        <v>525</v>
      </c>
      <c r="AI40" t="s">
        <v>159</v>
      </c>
      <c r="AJ40">
        <v>529</v>
      </c>
      <c r="AK40" t="s">
        <v>159</v>
      </c>
      <c r="AL40">
        <v>531</v>
      </c>
      <c r="AM40" t="s">
        <v>159</v>
      </c>
      <c r="AN40">
        <v>530</v>
      </c>
      <c r="AO40" t="s">
        <v>159</v>
      </c>
      <c r="AP40">
        <v>526</v>
      </c>
      <c r="AQ40" t="s">
        <v>159</v>
      </c>
      <c r="AR40">
        <v>526</v>
      </c>
      <c r="AS40" t="s">
        <v>159</v>
      </c>
      <c r="AT40">
        <v>533</v>
      </c>
      <c r="AU40" t="s">
        <v>159</v>
      </c>
      <c r="AV40">
        <v>527</v>
      </c>
      <c r="AW40" t="s">
        <v>159</v>
      </c>
      <c r="AX40">
        <v>535</v>
      </c>
      <c r="AY40" t="s">
        <v>159</v>
      </c>
      <c r="AZ40">
        <v>534</v>
      </c>
      <c r="BA40" t="s">
        <v>159</v>
      </c>
      <c r="BC40" t="s">
        <v>159</v>
      </c>
      <c r="BD40">
        <v>527</v>
      </c>
      <c r="BE40" t="s">
        <v>159</v>
      </c>
      <c r="BF40">
        <v>535</v>
      </c>
    </row>
    <row r="41" spans="1:58" x14ac:dyDescent="0.3">
      <c r="A41">
        <v>4</v>
      </c>
      <c r="B41">
        <v>1.2699999999999999E-2</v>
      </c>
      <c r="C41">
        <v>-0.84523782786294721</v>
      </c>
      <c r="E41" t="s">
        <v>52</v>
      </c>
      <c r="F41" s="16"/>
      <c r="G41" s="17" t="b">
        <f>(G37&gt;G40)</f>
        <v>0</v>
      </c>
      <c r="H41" s="18"/>
      <c r="S41" t="s">
        <v>160</v>
      </c>
      <c r="T41">
        <v>0.3</v>
      </c>
      <c r="U41" t="s">
        <v>160</v>
      </c>
      <c r="V41">
        <v>0.32</v>
      </c>
      <c r="W41" t="s">
        <v>160</v>
      </c>
      <c r="X41">
        <v>0.28000000000000003</v>
      </c>
      <c r="Y41" t="s">
        <v>160</v>
      </c>
      <c r="Z41">
        <v>0.31</v>
      </c>
      <c r="AA41" t="s">
        <v>160</v>
      </c>
      <c r="AB41">
        <v>0.32</v>
      </c>
      <c r="AC41" t="s">
        <v>160</v>
      </c>
      <c r="AD41">
        <v>0.35</v>
      </c>
      <c r="AE41" t="s">
        <v>160</v>
      </c>
      <c r="AF41">
        <v>0.35</v>
      </c>
      <c r="AG41" t="s">
        <v>160</v>
      </c>
      <c r="AH41">
        <v>0.3</v>
      </c>
      <c r="AI41" t="s">
        <v>160</v>
      </c>
      <c r="AJ41">
        <v>0.31</v>
      </c>
      <c r="AK41" t="s">
        <v>160</v>
      </c>
      <c r="AL41">
        <v>0.31</v>
      </c>
      <c r="AM41" t="s">
        <v>160</v>
      </c>
      <c r="AN41">
        <v>0.31</v>
      </c>
      <c r="AO41" t="s">
        <v>160</v>
      </c>
      <c r="AP41">
        <v>0.28999999999999998</v>
      </c>
      <c r="AQ41" t="s">
        <v>160</v>
      </c>
      <c r="AR41">
        <v>0.28999999999999998</v>
      </c>
      <c r="AS41" t="s">
        <v>160</v>
      </c>
      <c r="AT41">
        <v>0.3</v>
      </c>
      <c r="AU41" t="s">
        <v>160</v>
      </c>
      <c r="AV41">
        <v>0.3</v>
      </c>
      <c r="AW41" t="s">
        <v>160</v>
      </c>
      <c r="AX41">
        <v>0.3</v>
      </c>
      <c r="AY41" t="s">
        <v>160</v>
      </c>
      <c r="AZ41">
        <v>0.28999999999999998</v>
      </c>
      <c r="BA41" t="s">
        <v>160</v>
      </c>
      <c r="BC41" t="s">
        <v>160</v>
      </c>
      <c r="BD41">
        <v>0.3</v>
      </c>
      <c r="BE41" t="s">
        <v>160</v>
      </c>
      <c r="BF41">
        <v>0.3</v>
      </c>
    </row>
    <row r="42" spans="1:58" ht="15" thickBot="1" x14ac:dyDescent="0.35">
      <c r="F42" s="16" t="s">
        <v>53</v>
      </c>
      <c r="G42" s="17" t="b">
        <f>NOT(G41)</f>
        <v>1</v>
      </c>
      <c r="H42" s="18"/>
      <c r="S42" t="s">
        <v>161</v>
      </c>
      <c r="T42">
        <v>0.38900000000000001</v>
      </c>
      <c r="U42" t="s">
        <v>161</v>
      </c>
      <c r="V42">
        <f>0.406</f>
        <v>0.40600000000000003</v>
      </c>
      <c r="W42" t="s">
        <v>161</v>
      </c>
      <c r="X42">
        <v>0.46500000000000002</v>
      </c>
      <c r="Y42" t="s">
        <v>161</v>
      </c>
      <c r="Z42">
        <v>0.43099999999999999</v>
      </c>
      <c r="AA42" t="s">
        <v>161</v>
      </c>
      <c r="AB42" s="12">
        <v>0.38800000000000001</v>
      </c>
      <c r="AC42" t="s">
        <v>161</v>
      </c>
      <c r="AD42" s="12">
        <v>0.378</v>
      </c>
      <c r="AE42" t="s">
        <v>161</v>
      </c>
      <c r="AF42" s="12">
        <v>0.41199999999999998</v>
      </c>
      <c r="AG42" t="s">
        <v>161</v>
      </c>
      <c r="AH42" s="12">
        <v>0.377</v>
      </c>
      <c r="AI42" t="s">
        <v>161</v>
      </c>
      <c r="AJ42" s="12">
        <v>0.40600000000000003</v>
      </c>
      <c r="AK42" t="s">
        <v>161</v>
      </c>
      <c r="AL42" s="12">
        <v>0.38300000000000028</v>
      </c>
      <c r="AM42" t="s">
        <v>161</v>
      </c>
      <c r="AN42" s="12">
        <v>0.37100000000000027</v>
      </c>
      <c r="AO42" t="s">
        <v>161</v>
      </c>
      <c r="AP42" s="12"/>
      <c r="AQ42" t="s">
        <v>161</v>
      </c>
      <c r="AR42" s="12">
        <v>0.46600000000000003</v>
      </c>
      <c r="AS42" t="s">
        <v>161</v>
      </c>
      <c r="AT42" s="32">
        <v>0.40600000000000031</v>
      </c>
      <c r="AU42" t="s">
        <v>161</v>
      </c>
      <c r="AV42" s="32">
        <v>0.41800000000000032</v>
      </c>
      <c r="AW42" t="s">
        <v>161</v>
      </c>
      <c r="AX42" s="32">
        <v>0.46300000000000036</v>
      </c>
      <c r="AY42" t="s">
        <v>161</v>
      </c>
      <c r="AZ42" s="32">
        <v>0.42000000000000032</v>
      </c>
      <c r="BA42" t="s">
        <v>161</v>
      </c>
      <c r="BB42" s="32"/>
      <c r="BC42" t="s">
        <v>161</v>
      </c>
      <c r="BD42" s="32">
        <v>0.41800000000000032</v>
      </c>
      <c r="BE42" t="s">
        <v>161</v>
      </c>
      <c r="BF42" s="32">
        <v>0.46300000000000036</v>
      </c>
    </row>
    <row r="43" spans="1:58" ht="15" thickBot="1" x14ac:dyDescent="0.35">
      <c r="E43" t="s">
        <v>54</v>
      </c>
      <c r="F43" s="16" t="s">
        <v>59</v>
      </c>
      <c r="G43" s="32">
        <v>0.56400000000000039</v>
      </c>
      <c r="H43" s="18" t="s">
        <v>1</v>
      </c>
      <c r="I43">
        <f>30*G9</f>
        <v>1.143</v>
      </c>
      <c r="S43" t="s">
        <v>162</v>
      </c>
      <c r="T43" t="s">
        <v>163</v>
      </c>
      <c r="U43" t="s">
        <v>164</v>
      </c>
      <c r="V43" s="9" t="s">
        <v>165</v>
      </c>
      <c r="W43" s="9" t="s">
        <v>166</v>
      </c>
      <c r="X43" s="9" t="s">
        <v>167</v>
      </c>
      <c r="Y43" t="s">
        <v>168</v>
      </c>
      <c r="Z43" t="s">
        <v>169</v>
      </c>
      <c r="AA43" t="s">
        <v>168</v>
      </c>
      <c r="AB43" t="s">
        <v>169</v>
      </c>
      <c r="AC43" t="s">
        <v>170</v>
      </c>
      <c r="AD43" t="s">
        <v>171</v>
      </c>
      <c r="AE43" t="s">
        <v>176</v>
      </c>
      <c r="AF43" t="s">
        <v>177</v>
      </c>
      <c r="AG43" t="s">
        <v>178</v>
      </c>
      <c r="AH43" t="s">
        <v>179</v>
      </c>
      <c r="AI43" t="s">
        <v>178</v>
      </c>
      <c r="AJ43" t="s">
        <v>179</v>
      </c>
      <c r="AK43" t="s">
        <v>180</v>
      </c>
      <c r="AL43" t="s">
        <v>181</v>
      </c>
      <c r="AM43" t="s">
        <v>182</v>
      </c>
      <c r="AN43" t="s">
        <v>183</v>
      </c>
      <c r="AO43" t="s">
        <v>184</v>
      </c>
      <c r="AP43" t="s">
        <v>185</v>
      </c>
      <c r="AQ43" t="s">
        <v>186</v>
      </c>
      <c r="AR43" t="s">
        <v>187</v>
      </c>
      <c r="AS43" s="9" t="s">
        <v>188</v>
      </c>
      <c r="AT43" t="s">
        <v>189</v>
      </c>
      <c r="AU43" s="9" t="s">
        <v>190</v>
      </c>
      <c r="AV43" t="s">
        <v>191</v>
      </c>
      <c r="AW43" s="9" t="s">
        <v>192</v>
      </c>
      <c r="AX43" t="s">
        <v>193</v>
      </c>
      <c r="AY43" t="s">
        <v>194</v>
      </c>
      <c r="AZ43" t="s">
        <v>193</v>
      </c>
      <c r="BA43" s="9" t="s">
        <v>188</v>
      </c>
      <c r="BC43" s="9" t="s">
        <v>190</v>
      </c>
      <c r="BD43" t="s">
        <v>191</v>
      </c>
      <c r="BE43" s="9" t="s">
        <v>192</v>
      </c>
      <c r="BF43" t="s">
        <v>193</v>
      </c>
    </row>
    <row r="44" spans="1:58" x14ac:dyDescent="0.3">
      <c r="F44" s="16" t="s">
        <v>4</v>
      </c>
      <c r="G44" s="17">
        <f>G11/0.3048</f>
        <v>1.5428835401020657</v>
      </c>
      <c r="H44" s="18" t="s">
        <v>55</v>
      </c>
      <c r="S44">
        <v>0</v>
      </c>
      <c r="T44" s="17">
        <v>0.78847347062723705</v>
      </c>
      <c r="U44">
        <v>0</v>
      </c>
      <c r="V44" s="17">
        <v>0.77948321771723128</v>
      </c>
      <c r="W44" s="9">
        <v>0</v>
      </c>
      <c r="X44" s="17">
        <v>0.79756741356752814</v>
      </c>
      <c r="Y44">
        <v>0</v>
      </c>
      <c r="Z44" s="17">
        <v>0.78451331935737079</v>
      </c>
      <c r="AA44">
        <v>0</v>
      </c>
      <c r="AB44" s="17">
        <v>0.77928522844949288</v>
      </c>
      <c r="AC44" s="12">
        <v>0</v>
      </c>
      <c r="AD44" s="17">
        <v>0.76808974160450916</v>
      </c>
      <c r="AE44">
        <v>0</v>
      </c>
      <c r="AF44" s="17">
        <v>0.76672511463195425</v>
      </c>
      <c r="AG44" s="9">
        <f>Q15/U15</f>
        <v>0</v>
      </c>
      <c r="AH44" s="17">
        <v>0.78897437524568503</v>
      </c>
      <c r="AI44">
        <f>Q15/U15</f>
        <v>0</v>
      </c>
      <c r="AJ44" s="17">
        <v>0.78431405243855667</v>
      </c>
      <c r="AK44" s="9">
        <v>0</v>
      </c>
      <c r="AL44" s="17">
        <v>0.78411483614545641</v>
      </c>
      <c r="AM44" s="9">
        <v>0</v>
      </c>
      <c r="AN44" s="9">
        <v>0</v>
      </c>
      <c r="AO44" s="9">
        <f>Q15/U15</f>
        <v>0</v>
      </c>
      <c r="AP44" s="17">
        <v>0.79315850831711499</v>
      </c>
      <c r="AQ44" s="9">
        <v>0</v>
      </c>
      <c r="AR44" s="17">
        <v>0.79315850831711499</v>
      </c>
      <c r="AS44" s="9">
        <v>0</v>
      </c>
      <c r="AT44" s="17">
        <v>0.78817308051699297</v>
      </c>
      <c r="AU44" s="9">
        <v>0</v>
      </c>
      <c r="AV44" s="17">
        <v>0.78877397522583703</v>
      </c>
      <c r="AW44" s="66">
        <f>Q15/T15</f>
        <v>0</v>
      </c>
      <c r="AX44" s="17">
        <v>0.78797288402056365</v>
      </c>
      <c r="AY44">
        <v>0</v>
      </c>
      <c r="AZ44" s="17">
        <v>0.79235296411665845</v>
      </c>
    </row>
    <row r="45" spans="1:58" x14ac:dyDescent="0.3">
      <c r="F45" s="16" t="s">
        <v>27</v>
      </c>
      <c r="G45" s="17">
        <f>G29/0.3048</f>
        <v>5.1158532474938818</v>
      </c>
      <c r="H45" s="18" t="s">
        <v>55</v>
      </c>
      <c r="S45">
        <v>2.7902071667271677E-7</v>
      </c>
      <c r="T45" s="17">
        <v>0.78845963239781625</v>
      </c>
      <c r="U45">
        <v>2.6575885931476216E-7</v>
      </c>
      <c r="V45" s="17">
        <v>0.7794702305572242</v>
      </c>
      <c r="W45" s="9">
        <v>2.9367568159289704E-7</v>
      </c>
      <c r="X45" s="17">
        <v>0.79755261411594436</v>
      </c>
      <c r="Y45">
        <v>2.7303818436478421E-7</v>
      </c>
      <c r="Z45" s="17">
        <v>0.7844998671226836</v>
      </c>
      <c r="AA45">
        <v>2.6547933733767794E-7</v>
      </c>
      <c r="AB45" s="17">
        <v>0.77927225905183595</v>
      </c>
      <c r="AC45" s="12">
        <v>2.5047269751113725E-7</v>
      </c>
      <c r="AD45" s="17">
        <v>0.76807771607898434</v>
      </c>
      <c r="AE45">
        <v>2.4874483270750348E-7</v>
      </c>
      <c r="AF45" s="17">
        <v>0.76671319662242099</v>
      </c>
      <c r="AG45" s="9">
        <f t="shared" ref="AG45:AG59" si="26">Q16/U16</f>
        <v>6.4159977234177138E-7</v>
      </c>
      <c r="AH45" s="17">
        <v>0.7889604868674378</v>
      </c>
      <c r="AI45">
        <f t="shared" ref="AI45:AI59" si="27">Q16/U16</f>
        <v>6.4159977234177138E-7</v>
      </c>
      <c r="AJ45" s="17">
        <v>0.78430061914969995</v>
      </c>
      <c r="AK45" s="9">
        <v>2.7244874954714723E-7</v>
      </c>
      <c r="AL45" s="17">
        <v>0.78410142175326958</v>
      </c>
      <c r="AM45" s="9">
        <v>2.7259586953378946E-7</v>
      </c>
      <c r="AN45" s="9">
        <v>2.8640422001157415E-7</v>
      </c>
      <c r="AO45" s="9">
        <f t="shared" ref="AO45:AO59" si="28">Q16/U16</f>
        <v>6.4159977234177138E-7</v>
      </c>
      <c r="AP45" s="17">
        <v>0.79314418870021697</v>
      </c>
      <c r="AQ45" s="9">
        <v>2.8640422001157415E-7</v>
      </c>
      <c r="AR45" s="17">
        <v>0.79314418870021697</v>
      </c>
      <c r="AS45" s="9">
        <v>2.7855882269882102E-7</v>
      </c>
      <c r="AT45" s="17">
        <v>0.7881592722152293</v>
      </c>
      <c r="AU45" s="9">
        <v>2.7948414498191718E-7</v>
      </c>
      <c r="AV45" s="17">
        <v>0.78876010694770837</v>
      </c>
      <c r="AW45" s="66">
        <f t="shared" ref="AW45:AW59" si="29">Q16/T16</f>
        <v>1.1709444297576504E-6</v>
      </c>
      <c r="AX45" s="17">
        <v>0.78795909560371713</v>
      </c>
      <c r="AY45">
        <v>2.8511017350165609E-7</v>
      </c>
      <c r="AZ45" s="17">
        <v>0.79233872928296756</v>
      </c>
    </row>
    <row r="46" spans="1:58" x14ac:dyDescent="0.3">
      <c r="F46" s="16" t="s">
        <v>56</v>
      </c>
      <c r="G46" s="64">
        <f>0.0226*(G44/32.2/(G9/0.0254/12))^1.2*(212.6/G45+G45)^1.2*(0.836+2.75*(SIN(G7))^0.25)</f>
        <v>1.3213847762494109</v>
      </c>
      <c r="H46" s="18" t="s">
        <v>57</v>
      </c>
      <c r="S46">
        <v>2.8343727624100055E-4</v>
      </c>
      <c r="T46" s="17">
        <v>0.77544487057340095</v>
      </c>
      <c r="U46">
        <v>1.7881160802728728E-4</v>
      </c>
      <c r="V46" s="17">
        <v>0.77114983710057794</v>
      </c>
      <c r="W46" s="9">
        <v>2.9944228524691563E-4</v>
      </c>
      <c r="X46" s="17">
        <v>0.78368039137736012</v>
      </c>
      <c r="Y46">
        <v>1.88732880447303E-4</v>
      </c>
      <c r="Z46" s="17">
        <v>0.77567639969949809</v>
      </c>
      <c r="AA46">
        <v>1.9852411645799735E-4</v>
      </c>
      <c r="AB46" s="17">
        <v>0.77008179170729685</v>
      </c>
      <c r="AC46" s="12">
        <v>2.6213423440532926E-4</v>
      </c>
      <c r="AD46" s="17">
        <v>0.7563032362292853</v>
      </c>
      <c r="AE46">
        <v>2.4601279164511458E-4</v>
      </c>
      <c r="AF46" s="17">
        <v>0.75564091078344753</v>
      </c>
      <c r="AG46" s="9">
        <f t="shared" si="26"/>
        <v>3.4690224589183045E-4</v>
      </c>
      <c r="AH46" s="17">
        <v>0.77530078799864777</v>
      </c>
      <c r="AI46">
        <f t="shared" si="27"/>
        <v>3.4690224589183045E-4</v>
      </c>
      <c r="AJ46" s="17">
        <v>0.7743028404483534</v>
      </c>
      <c r="AK46" s="9">
        <v>2.5268775936115298E-4</v>
      </c>
      <c r="AL46" s="17">
        <v>0.77248055067618215</v>
      </c>
      <c r="AM46" s="9">
        <v>2.6019484444638776E-4</v>
      </c>
      <c r="AN46" s="9">
        <v>1.7092478985656417E-4</v>
      </c>
      <c r="AO46" s="9">
        <f t="shared" si="28"/>
        <v>3.4690224589183045E-4</v>
      </c>
      <c r="AP46" s="17">
        <v>0.78501316288383005</v>
      </c>
      <c r="AQ46" s="9">
        <v>1.7092478985656417E-4</v>
      </c>
      <c r="AR46" s="17">
        <v>0.78501316288383005</v>
      </c>
      <c r="AS46" s="9">
        <v>2.6332861032460722E-4</v>
      </c>
      <c r="AT46" s="17">
        <v>0.77601255042149109</v>
      </c>
      <c r="AU46" s="9">
        <v>2.3942854052032533E-4</v>
      </c>
      <c r="AV46" s="17">
        <v>0.77764028031470467</v>
      </c>
      <c r="AW46" s="66">
        <f t="shared" si="29"/>
        <v>6.3803070652322441E-4</v>
      </c>
      <c r="AX46" s="17">
        <v>0.77828254476024239</v>
      </c>
      <c r="AY46">
        <v>2.9087754233713027E-4</v>
      </c>
      <c r="AZ46" s="17">
        <v>0.77893455407678591</v>
      </c>
    </row>
    <row r="47" spans="1:58" x14ac:dyDescent="0.3">
      <c r="F47" s="16" t="s">
        <v>58</v>
      </c>
      <c r="G47" s="17">
        <f>G35/G46</f>
        <v>1.6685698450671058</v>
      </c>
      <c r="H47" s="18" t="s">
        <v>1</v>
      </c>
      <c r="S47">
        <v>1.4294183707439637E-3</v>
      </c>
      <c r="T47" s="17">
        <v>0.73638986030188502</v>
      </c>
      <c r="U47">
        <v>1.2435764318648964E-3</v>
      </c>
      <c r="V47" s="17">
        <v>0.73303638567981411</v>
      </c>
      <c r="W47" s="9">
        <v>1.3807426789218089E-3</v>
      </c>
      <c r="X47" s="17">
        <v>0.74649667195619396</v>
      </c>
      <c r="Y47">
        <v>1.2447750013982852E-3</v>
      </c>
      <c r="Z47" s="17">
        <v>0.73784397122994583</v>
      </c>
      <c r="AA47">
        <v>1.2860766674949997E-3</v>
      </c>
      <c r="AB47" s="17">
        <v>0.73160809134534388</v>
      </c>
      <c r="AC47" s="12">
        <v>1.460016013255925E-3</v>
      </c>
      <c r="AD47" s="17">
        <v>0.71594299060697375</v>
      </c>
      <c r="AE47">
        <v>1.4267569657006728E-3</v>
      </c>
      <c r="AF47" s="17">
        <v>0.71554734197898495</v>
      </c>
      <c r="AG47" s="9">
        <f t="shared" si="26"/>
        <v>6.9632603431846012E-4</v>
      </c>
      <c r="AH47" s="17">
        <v>0.73603979357342186</v>
      </c>
      <c r="AI47">
        <f t="shared" si="27"/>
        <v>6.9632603431846012E-4</v>
      </c>
      <c r="AJ47" s="17">
        <v>0.73599210996117226</v>
      </c>
      <c r="AK47" s="9">
        <v>1.3829871155958463E-3</v>
      </c>
      <c r="AL47" s="17">
        <v>0.73349241831183909</v>
      </c>
      <c r="AM47" s="9">
        <v>1.3988500568204224E-3</v>
      </c>
      <c r="AN47" s="9">
        <v>1.1682085974111726E-3</v>
      </c>
      <c r="AO47" s="9">
        <f t="shared" si="28"/>
        <v>6.9632603431846012E-4</v>
      </c>
      <c r="AP47" s="17">
        <v>0.74844192677911869</v>
      </c>
      <c r="AQ47" s="9">
        <v>1.1682085974111726E-3</v>
      </c>
      <c r="AR47" s="17">
        <v>0.74844192677911869</v>
      </c>
      <c r="AS47" s="9">
        <v>1.387237565881358E-3</v>
      </c>
      <c r="AT47" s="17">
        <v>0.73727768950286099</v>
      </c>
      <c r="AU47" s="9">
        <v>1.3329943003721951E-3</v>
      </c>
      <c r="AV47" s="17">
        <v>0.73939163307014144</v>
      </c>
      <c r="AW47" s="66">
        <f t="shared" si="29"/>
        <v>1.2885968153283317E-3</v>
      </c>
      <c r="AX47" s="17">
        <v>0.7405025552482537</v>
      </c>
      <c r="AY47">
        <v>1.4256344103323747E-3</v>
      </c>
      <c r="AZ47" s="17">
        <v>0.74022702939929041</v>
      </c>
    </row>
    <row r="48" spans="1:58" x14ac:dyDescent="0.3">
      <c r="F48" s="16" t="s">
        <v>60</v>
      </c>
      <c r="G48" s="17">
        <f>G47-G43</f>
        <v>1.1045698450671053</v>
      </c>
      <c r="H48" s="18" t="s">
        <v>1</v>
      </c>
      <c r="S48">
        <v>2.6234012303969502E-3</v>
      </c>
      <c r="T48" s="17">
        <v>0.70805452318698636</v>
      </c>
      <c r="U48">
        <v>2.436805076662529E-3</v>
      </c>
      <c r="V48" s="17">
        <v>0.70328694863125485</v>
      </c>
      <c r="W48" s="9">
        <v>2.5210257692345659E-3</v>
      </c>
      <c r="X48" s="17">
        <v>0.71897059106499273</v>
      </c>
      <c r="Y48">
        <v>2.4019619912837714E-3</v>
      </c>
      <c r="Z48" s="17">
        <v>0.70888262799450408</v>
      </c>
      <c r="AA48">
        <v>2.4958071762222881E-3</v>
      </c>
      <c r="AB48" s="17">
        <v>0.70184208260966718</v>
      </c>
      <c r="AC48" s="12">
        <v>2.818013823462849E-3</v>
      </c>
      <c r="AD48" s="17">
        <v>0.68449233689389855</v>
      </c>
      <c r="AE48">
        <v>2.7862693557639626E-3</v>
      </c>
      <c r="AF48" s="17">
        <v>0.68381124508868851</v>
      </c>
      <c r="AG48" s="9">
        <f t="shared" si="26"/>
        <v>1.2642123747276792E-3</v>
      </c>
      <c r="AH48" s="17">
        <v>0.70778600140021231</v>
      </c>
      <c r="AI48">
        <f t="shared" si="27"/>
        <v>1.2642123747276792E-3</v>
      </c>
      <c r="AJ48" s="17">
        <v>0.70701003562674913</v>
      </c>
      <c r="AK48" s="9">
        <v>2.5911506426407973E-3</v>
      </c>
      <c r="AL48" s="17">
        <v>0.70450763362480584</v>
      </c>
      <c r="AM48" s="9">
        <v>2.611693130670912E-3</v>
      </c>
      <c r="AN48" s="9">
        <v>2.2395482747054902E-3</v>
      </c>
      <c r="AO48" s="9">
        <f t="shared" si="28"/>
        <v>1.2642123747276792E-3</v>
      </c>
      <c r="AP48" s="17">
        <v>0.72078511587788108</v>
      </c>
      <c r="AQ48" s="9">
        <v>2.2395482747054902E-3</v>
      </c>
      <c r="AR48" s="17">
        <v>0.72078511587788108</v>
      </c>
      <c r="AS48" s="9">
        <v>2.5689481643733194E-3</v>
      </c>
      <c r="AT48" s="17">
        <v>0.70888637955018319</v>
      </c>
      <c r="AU48" s="9">
        <v>2.4919975560658792E-3</v>
      </c>
      <c r="AV48" s="17">
        <v>0.71107574462430156</v>
      </c>
      <c r="AW48" s="66">
        <f t="shared" si="29"/>
        <v>2.3582692036810305E-3</v>
      </c>
      <c r="AX48" s="17">
        <v>0.71206364308143566</v>
      </c>
      <c r="AY48">
        <v>2.5928325208502269E-3</v>
      </c>
      <c r="AZ48" s="17">
        <v>0.71243454262369676</v>
      </c>
    </row>
    <row r="49" spans="6:52" x14ac:dyDescent="0.3">
      <c r="F49" s="16" t="s">
        <v>61</v>
      </c>
      <c r="G49" s="17" t="s">
        <v>62</v>
      </c>
      <c r="H49" s="18"/>
      <c r="S49">
        <v>5.4044982844863188E-3</v>
      </c>
      <c r="T49" s="17">
        <v>0.66341067450874014</v>
      </c>
      <c r="U49">
        <v>5.0788952618729425E-3</v>
      </c>
      <c r="V49" s="17">
        <v>0.65885623360738332</v>
      </c>
      <c r="W49" s="9">
        <v>5.0686438772765269E-3</v>
      </c>
      <c r="X49" s="17">
        <v>0.67680777430385075</v>
      </c>
      <c r="Y49">
        <v>4.975255885383334E-3</v>
      </c>
      <c r="Z49" s="17">
        <v>0.66518643296506319</v>
      </c>
      <c r="AA49">
        <v>5.2030358718217718E-3</v>
      </c>
      <c r="AB49" s="17">
        <v>0.65700578442576063</v>
      </c>
      <c r="AC49" s="12">
        <v>5.9544937291272785E-3</v>
      </c>
      <c r="AD49" s="17">
        <v>0.63661104347076403</v>
      </c>
      <c r="AE49">
        <v>5.8843843445650123E-3</v>
      </c>
      <c r="AF49" s="17">
        <v>0.63613432467024411</v>
      </c>
      <c r="AG49" s="9">
        <f t="shared" si="26"/>
        <v>2.0820765718689437E-3</v>
      </c>
      <c r="AH49" s="17">
        <v>0.66296708731664922</v>
      </c>
      <c r="AI49">
        <f t="shared" si="27"/>
        <v>2.0820765718689437E-3</v>
      </c>
      <c r="AJ49" s="17">
        <v>0.66278755463451589</v>
      </c>
      <c r="AK49" s="9">
        <v>5.3716391482158234E-3</v>
      </c>
      <c r="AL49" s="17">
        <v>0.65953871751150805</v>
      </c>
      <c r="AM49" s="9">
        <v>5.4144128383441124E-3</v>
      </c>
      <c r="AN49" s="9">
        <v>4.5841900136543217E-3</v>
      </c>
      <c r="AO49" s="9">
        <f t="shared" si="28"/>
        <v>2.0820765718689437E-3</v>
      </c>
      <c r="AP49" s="17">
        <v>0.67915822413149518</v>
      </c>
      <c r="AQ49" s="9">
        <v>4.5841900136543217E-3</v>
      </c>
      <c r="AR49" s="17">
        <v>0.67915822413149518</v>
      </c>
      <c r="AS49" s="9">
        <v>5.2927598236102141E-3</v>
      </c>
      <c r="AT49" s="17">
        <v>0.66455761705291494</v>
      </c>
      <c r="AU49" s="9">
        <v>5.1280903872991633E-3</v>
      </c>
      <c r="AV49" s="17">
        <v>0.66731762342040368</v>
      </c>
      <c r="AW49" s="66">
        <f t="shared" si="29"/>
        <v>3.9189806143714902E-3</v>
      </c>
      <c r="AX49" s="17">
        <v>0.66872744000319517</v>
      </c>
      <c r="AY49">
        <v>5.305770444062532E-3</v>
      </c>
      <c r="AZ49" s="17">
        <v>0.668519199917326</v>
      </c>
    </row>
    <row r="50" spans="6:52" x14ac:dyDescent="0.3">
      <c r="F50" s="16"/>
      <c r="G50" s="17"/>
      <c r="H50" s="18"/>
      <c r="S50">
        <v>8.9561300923915246E-3</v>
      </c>
      <c r="T50" s="17">
        <v>0.62617730068309141</v>
      </c>
      <c r="U50">
        <v>8.5748231287961878E-3</v>
      </c>
      <c r="V50" s="17">
        <v>0.62056041788123739</v>
      </c>
      <c r="W50" s="9">
        <v>8.4445209297301406E-3</v>
      </c>
      <c r="X50" s="17">
        <v>0.63991649862067512</v>
      </c>
      <c r="Y50">
        <v>8.3754254188937831E-3</v>
      </c>
      <c r="Z50" s="17">
        <v>0.62738570160135554</v>
      </c>
      <c r="AA50">
        <v>8.7544130308620793E-3</v>
      </c>
      <c r="AB50" s="17">
        <v>0.61875689103544662</v>
      </c>
      <c r="AC50" s="12">
        <v>9.9369737716432233E-3</v>
      </c>
      <c r="AD50" s="17">
        <v>0.5977356975149819</v>
      </c>
      <c r="AE50">
        <v>9.8626642274218766E-3</v>
      </c>
      <c r="AF50" s="17">
        <v>0.59699585152562507</v>
      </c>
      <c r="AG50" s="9">
        <f t="shared" si="26"/>
        <v>3.3279237085527338E-3</v>
      </c>
      <c r="AH50" s="17">
        <v>0.62581453857028058</v>
      </c>
      <c r="AI50">
        <f t="shared" si="27"/>
        <v>3.3279237085527338E-3</v>
      </c>
      <c r="AJ50" s="17">
        <v>0.62503302860972698</v>
      </c>
      <c r="AK50" s="9">
        <v>8.9467346573549981E-3</v>
      </c>
      <c r="AL50" s="17">
        <v>0.62188305028348334</v>
      </c>
      <c r="AM50" s="9">
        <v>9.0064538293228875E-3</v>
      </c>
      <c r="AN50" s="9">
        <v>7.729131410840813E-3</v>
      </c>
      <c r="AO50" s="9">
        <f t="shared" si="28"/>
        <v>3.3279237085527338E-3</v>
      </c>
      <c r="AP50" s="17">
        <v>0.64217112263924281</v>
      </c>
      <c r="AQ50" s="9">
        <v>7.729131410840813E-3</v>
      </c>
      <c r="AR50" s="17">
        <v>0.64217112263924281</v>
      </c>
      <c r="AS50" s="9">
        <v>8.7993270527434234E-3</v>
      </c>
      <c r="AT50" s="17">
        <v>0.62724495368175559</v>
      </c>
      <c r="AU50" s="9">
        <v>8.5581930645571552E-3</v>
      </c>
      <c r="AV50" s="17">
        <v>0.62999546440257492</v>
      </c>
      <c r="AW50" s="66">
        <f t="shared" si="29"/>
        <v>6.3302746033850081E-3</v>
      </c>
      <c r="AX50" s="17">
        <v>0.631274577060292</v>
      </c>
      <c r="AY50">
        <v>8.7850108920069399E-3</v>
      </c>
      <c r="AZ50" s="17">
        <v>0.63158802785996249</v>
      </c>
    </row>
    <row r="51" spans="6:52" ht="15" customHeight="1" x14ac:dyDescent="0.3">
      <c r="F51" s="16" t="s">
        <v>65</v>
      </c>
      <c r="G51" s="26">
        <f>1*G29+1.53*(G6*G5*(G14-G23)/G14^2)^0.25*G31^0.5*SIN(G7)</f>
        <v>1.5633472985405146</v>
      </c>
      <c r="H51" s="18" t="s">
        <v>5</v>
      </c>
      <c r="S51">
        <v>1.7526528353633334E-2</v>
      </c>
      <c r="T51" s="17">
        <v>0.57147156624741824</v>
      </c>
      <c r="U51">
        <v>1.6736487125417657E-2</v>
      </c>
      <c r="V51" s="17">
        <v>0.56620933274045793</v>
      </c>
      <c r="W51" s="9">
        <v>1.5977078476426584E-2</v>
      </c>
      <c r="X51" s="17">
        <v>0.5886702357178728</v>
      </c>
      <c r="Y51">
        <v>1.6199738072059426E-2</v>
      </c>
      <c r="Z51" s="17">
        <v>0.57404601029928004</v>
      </c>
      <c r="AA51">
        <v>1.7179609896710114E-2</v>
      </c>
      <c r="AB51" s="17">
        <v>0.56380671157002493</v>
      </c>
      <c r="AC51" s="12">
        <v>2.0454920358023043E-2</v>
      </c>
      <c r="AD51" s="17">
        <v>0.53785065135865351</v>
      </c>
      <c r="AE51">
        <v>2.0200998549304933E-2</v>
      </c>
      <c r="AF51" s="17">
        <v>0.53757050015182439</v>
      </c>
      <c r="AG51" s="9">
        <f t="shared" si="26"/>
        <v>4.8536368014399705E-3</v>
      </c>
      <c r="AH51" s="17">
        <v>0.57084894642817652</v>
      </c>
      <c r="AI51">
        <f t="shared" si="27"/>
        <v>4.8536368014399705E-3</v>
      </c>
      <c r="AJ51" s="17">
        <v>0.57094750508007497</v>
      </c>
      <c r="AK51" s="9">
        <v>1.7592754009544232E-2</v>
      </c>
      <c r="AL51" s="17">
        <v>0.56669382308854011</v>
      </c>
      <c r="AM51" s="9">
        <v>1.7741483446266842E-2</v>
      </c>
      <c r="AN51" s="9">
        <v>1.4602765664309713E-2</v>
      </c>
      <c r="AO51" s="9">
        <f t="shared" si="28"/>
        <v>4.8536368014399705E-3</v>
      </c>
      <c r="AP51" s="17">
        <v>0.59157663004403749</v>
      </c>
      <c r="AQ51" s="9">
        <v>1.4602765664309713E-2</v>
      </c>
      <c r="AR51" s="17">
        <v>0.59157663004403749</v>
      </c>
      <c r="AS51" s="9">
        <v>1.7148524109624884E-2</v>
      </c>
      <c r="AT51" s="17">
        <v>0.57300093670261831</v>
      </c>
      <c r="AU51" s="9">
        <v>1.6557985152063144E-2</v>
      </c>
      <c r="AV51" s="17">
        <v>0.57656603146624852</v>
      </c>
      <c r="AW51" s="66">
        <f t="shared" si="29"/>
        <v>9.3249708084594436E-3</v>
      </c>
      <c r="AX51" s="17">
        <v>0.57842767444104715</v>
      </c>
      <c r="AY51">
        <v>1.7018666387379342E-2</v>
      </c>
      <c r="AZ51" s="17">
        <v>0.57795132833686058</v>
      </c>
    </row>
    <row r="52" spans="6:52" x14ac:dyDescent="0.3">
      <c r="F52" s="16" t="s">
        <v>66</v>
      </c>
      <c r="G52" s="17">
        <f>(G29-G51*(1-G31))/G31</f>
        <v>1.5586224042104266</v>
      </c>
      <c r="H52" s="18" t="s">
        <v>5</v>
      </c>
      <c r="Q52">
        <v>0</v>
      </c>
      <c r="S52">
        <v>2.8270616256757926E-2</v>
      </c>
      <c r="T52" s="60">
        <v>0.53063447359429361</v>
      </c>
      <c r="U52">
        <v>2.7276381876843562E-2</v>
      </c>
      <c r="V52" s="60">
        <v>0.52453690573413347</v>
      </c>
      <c r="W52" s="9">
        <v>2.6243965333919213E-2</v>
      </c>
      <c r="X52" s="60">
        <v>0.54652015702573919</v>
      </c>
      <c r="Y52">
        <v>2.6472723009299773E-2</v>
      </c>
      <c r="Z52" s="60">
        <v>0.53220974625728135</v>
      </c>
      <c r="AA52">
        <v>2.7879801997990887E-2</v>
      </c>
      <c r="AB52" s="60">
        <v>0.5224599361753115</v>
      </c>
      <c r="AC52" s="12">
        <v>3.2307061419781312E-2</v>
      </c>
      <c r="AD52" s="60">
        <v>0.49873664065989376</v>
      </c>
      <c r="AE52">
        <v>3.2052155395136561E-2</v>
      </c>
      <c r="AF52" s="60">
        <v>0.49808147238197187</v>
      </c>
      <c r="AG52" s="9">
        <f t="shared" si="26"/>
        <v>7.8762338142048596E-3</v>
      </c>
      <c r="AH52" s="60">
        <v>0.53018257958776249</v>
      </c>
      <c r="AI52">
        <f t="shared" si="27"/>
        <v>7.8762338142048596E-3</v>
      </c>
      <c r="AJ52" s="60">
        <v>0.52949177686948046</v>
      </c>
      <c r="AK52" s="9">
        <v>2.8381119067878477E-2</v>
      </c>
      <c r="AL52" s="60">
        <v>0.52582737460587037</v>
      </c>
      <c r="AM52" s="9">
        <v>2.857963720121225E-2</v>
      </c>
      <c r="AN52" s="9">
        <v>2.4123545195387518E-2</v>
      </c>
      <c r="AO52" s="9">
        <f t="shared" si="28"/>
        <v>7.8762338142048596E-3</v>
      </c>
      <c r="AP52" s="60">
        <v>0.54911194286769305</v>
      </c>
      <c r="AQ52" s="9">
        <v>2.4123545195387518E-2</v>
      </c>
      <c r="AR52" s="60">
        <v>0.54911194286769305</v>
      </c>
      <c r="AS52" s="9">
        <v>2.7756753487089739E-2</v>
      </c>
      <c r="AT52" s="60">
        <v>0.53189985533025597</v>
      </c>
      <c r="AU52" s="9">
        <v>2.6939804111754586E-2</v>
      </c>
      <c r="AV52" s="60">
        <v>0.53508526950393642</v>
      </c>
      <c r="AW52" s="66">
        <f t="shared" si="29"/>
        <v>1.535645204498574E-2</v>
      </c>
      <c r="AX52" s="60">
        <v>0.53659726574170374</v>
      </c>
      <c r="AY52">
        <v>2.7569112671986518E-2</v>
      </c>
      <c r="AZ52" s="60">
        <v>0.53681685109971133</v>
      </c>
    </row>
    <row r="53" spans="6:52" x14ac:dyDescent="0.3">
      <c r="F53" s="16" t="s">
        <v>67</v>
      </c>
      <c r="G53" s="27">
        <f>(G35-G52)*G14*G10*G31</f>
        <v>0.62666640963514908</v>
      </c>
      <c r="H53" s="18" t="s">
        <v>44</v>
      </c>
      <c r="S53">
        <v>5.8493156313838876E-2</v>
      </c>
      <c r="T53" s="60">
        <v>0.46882648709561475</v>
      </c>
      <c r="U53">
        <v>5.7086778946725647E-2</v>
      </c>
      <c r="V53" s="60">
        <v>0.46188500660829435</v>
      </c>
      <c r="W53" s="9">
        <v>5.4618518583109621E-2</v>
      </c>
      <c r="X53" s="60">
        <v>0.48393966524174775</v>
      </c>
      <c r="Y53">
        <v>5.5969631548456161E-2</v>
      </c>
      <c r="Z53" s="60">
        <v>0.46853394579132407</v>
      </c>
      <c r="AA53">
        <v>5.7821161888979372E-2</v>
      </c>
      <c r="AB53" s="60">
        <v>0.46062192657416479</v>
      </c>
      <c r="AC53" s="12">
        <v>6.5821688253419469E-2</v>
      </c>
      <c r="AD53" s="60">
        <v>0.43920543785034299</v>
      </c>
      <c r="AE53">
        <v>6.47516231914195E-2</v>
      </c>
      <c r="AF53" s="60">
        <v>0.43924811611107101</v>
      </c>
      <c r="AG53" s="9">
        <f t="shared" si="26"/>
        <v>1.2331254678685254E-2</v>
      </c>
      <c r="AH53" s="60">
        <v>0.4687376324766841</v>
      </c>
      <c r="AI53">
        <f t="shared" si="27"/>
        <v>1.2331254678685254E-2</v>
      </c>
      <c r="AJ53" s="60">
        <v>0.46672315562548156</v>
      </c>
      <c r="AK53" s="9">
        <v>5.8429094772272282E-2</v>
      </c>
      <c r="AL53" s="60">
        <v>0.46453186586780087</v>
      </c>
      <c r="AM53" s="9">
        <v>5.8651235303295926E-2</v>
      </c>
      <c r="AN53" s="9">
        <v>4.941463322928092E-2</v>
      </c>
      <c r="AO53" s="9">
        <f t="shared" si="28"/>
        <v>1.2331254678685254E-2</v>
      </c>
      <c r="AP53" s="60">
        <v>0.48778336002050809</v>
      </c>
      <c r="AQ53" s="9">
        <v>4.941463322928092E-2</v>
      </c>
      <c r="AR53" s="60">
        <v>0.48778336002050809</v>
      </c>
      <c r="AS53" s="9">
        <v>5.7825021431815025E-2</v>
      </c>
      <c r="AT53" s="60">
        <v>0.46948544227527983</v>
      </c>
      <c r="AU53" s="9">
        <v>5.6726998991316398E-2</v>
      </c>
      <c r="AV53" s="60">
        <v>0.47170412328969025</v>
      </c>
      <c r="AW53" s="66">
        <f t="shared" si="29"/>
        <v>2.4416150248816819E-2</v>
      </c>
      <c r="AX53" s="60">
        <v>0.47251507197121534</v>
      </c>
      <c r="AY53">
        <v>5.7785111831001483E-2</v>
      </c>
      <c r="AZ53" s="60">
        <v>0.47380947963705139</v>
      </c>
    </row>
    <row r="54" spans="6:52" ht="13.8" customHeight="1" x14ac:dyDescent="0.3">
      <c r="F54" s="28" t="s">
        <v>72</v>
      </c>
      <c r="G54" s="27">
        <f>cal_inv_hlls(0.8,G31 )</f>
        <v>0.79649116727704994</v>
      </c>
      <c r="H54" s="18" t="s">
        <v>28</v>
      </c>
      <c r="S54">
        <v>9.4932856312898092E-2</v>
      </c>
      <c r="T54" s="60">
        <v>0.42940782296160174</v>
      </c>
      <c r="U54">
        <v>9.2060303030260152E-2</v>
      </c>
      <c r="V54" s="60">
        <v>0.42313984219156819</v>
      </c>
      <c r="W54" s="9">
        <v>8.7407941221361377E-2</v>
      </c>
      <c r="X54" s="60">
        <v>0.44511636045329117</v>
      </c>
      <c r="Y54">
        <v>8.9218983687811004E-2</v>
      </c>
      <c r="Z54" s="60">
        <v>0.43046379356162107</v>
      </c>
      <c r="AA54">
        <v>9.4021092970820605E-2</v>
      </c>
      <c r="AB54" s="60">
        <v>0.42129217670186686</v>
      </c>
      <c r="AC54" s="12">
        <v>0.11038570846513586</v>
      </c>
      <c r="AD54" s="60">
        <v>0.39858196706607618</v>
      </c>
      <c r="AE54">
        <v>0.1093890787482492</v>
      </c>
      <c r="AF54" s="60">
        <v>0.39803825527296977</v>
      </c>
      <c r="AG54" s="9">
        <f t="shared" si="26"/>
        <v>1.9999684227906239E-2</v>
      </c>
      <c r="AH54" s="60">
        <v>0.42904580868119513</v>
      </c>
      <c r="AI54">
        <f t="shared" si="27"/>
        <v>1.9999684227906239E-2</v>
      </c>
      <c r="AJ54" s="60">
        <v>0.42802050486731447</v>
      </c>
      <c r="AK54" s="9">
        <v>9.5425772287795863E-2</v>
      </c>
      <c r="AL54" s="60">
        <v>0.42475152972931218</v>
      </c>
      <c r="AM54" s="9">
        <v>9.6066197044147011E-2</v>
      </c>
      <c r="AN54" s="9">
        <v>7.9729023845532238E-2</v>
      </c>
      <c r="AO54" s="9">
        <f t="shared" si="28"/>
        <v>1.9999684227906239E-2</v>
      </c>
      <c r="AP54" s="60">
        <v>0.44804964238078659</v>
      </c>
      <c r="AQ54" s="9">
        <v>7.9729023845532238E-2</v>
      </c>
      <c r="AR54" s="60">
        <v>0.44804964238078659</v>
      </c>
      <c r="AS54" s="9">
        <v>9.3271369460741951E-2</v>
      </c>
      <c r="AT54" s="60">
        <v>0.43051237780352292</v>
      </c>
      <c r="AU54" s="9">
        <v>9.059744164404894E-2</v>
      </c>
      <c r="AV54" s="60">
        <v>0.43341778237100503</v>
      </c>
      <c r="AW54" s="66">
        <f t="shared" si="29"/>
        <v>4.0329440270713258E-2</v>
      </c>
      <c r="AX54" s="60">
        <v>0.43471393685732518</v>
      </c>
      <c r="AY54">
        <v>9.2567631670773073E-2</v>
      </c>
      <c r="AZ54" s="60">
        <v>0.43525792842267852</v>
      </c>
    </row>
    <row r="55" spans="6:52" x14ac:dyDescent="0.3">
      <c r="F55" s="28" t="s">
        <v>71</v>
      </c>
      <c r="G55" s="27">
        <f>G54*G9</f>
        <v>3.0346313473255605E-2</v>
      </c>
      <c r="H55" s="18" t="s">
        <v>73</v>
      </c>
      <c r="S55">
        <v>0.21052899908855599</v>
      </c>
      <c r="T55" s="60">
        <v>0.37048188205778487</v>
      </c>
      <c r="U55">
        <v>0.20713484943201771</v>
      </c>
      <c r="V55" s="60">
        <v>0.36361129347140247</v>
      </c>
      <c r="W55" s="9">
        <v>0.19355888668137655</v>
      </c>
      <c r="X55" s="60">
        <v>0.38481957880750806</v>
      </c>
      <c r="Y55">
        <v>0.20210677796574888</v>
      </c>
      <c r="Z55" s="60">
        <v>0.36976688142120989</v>
      </c>
      <c r="AA55">
        <v>0.20954372962950862</v>
      </c>
      <c r="AB55" s="60">
        <v>0.36263279468424359</v>
      </c>
      <c r="AC55" s="12">
        <v>0.25175094462263908</v>
      </c>
      <c r="AD55" s="60">
        <v>0.34112732656519268</v>
      </c>
      <c r="AE55">
        <v>0.252807681889818</v>
      </c>
      <c r="AF55" s="60">
        <v>0.33977875701256627</v>
      </c>
      <c r="AG55" s="9">
        <f t="shared" si="26"/>
        <v>3.2769993780342559E-2</v>
      </c>
      <c r="AH55" s="60">
        <v>0.37042374215259449</v>
      </c>
      <c r="AI55">
        <f t="shared" si="27"/>
        <v>3.2769993780342559E-2</v>
      </c>
      <c r="AJ55" s="60">
        <v>0.36819712192843834</v>
      </c>
      <c r="AK55" s="9">
        <v>0.21112408362993362</v>
      </c>
      <c r="AL55" s="60">
        <v>0.36636558193104596</v>
      </c>
      <c r="AM55" s="9">
        <v>0.21342593389062861</v>
      </c>
      <c r="AN55" s="9">
        <v>0.17244999299896177</v>
      </c>
      <c r="AO55" s="9">
        <f t="shared" si="28"/>
        <v>3.2769993780342559E-2</v>
      </c>
      <c r="AP55" s="60">
        <v>0.38885113271623561</v>
      </c>
      <c r="AQ55" s="9">
        <v>0.17244999299896177</v>
      </c>
      <c r="AR55" s="60">
        <v>0.38885113271623561</v>
      </c>
      <c r="AS55" s="9">
        <v>0.20833639806125612</v>
      </c>
      <c r="AT55" s="60">
        <v>0.3709441332512608</v>
      </c>
      <c r="AU55" s="9">
        <v>0.2043181115707389</v>
      </c>
      <c r="AV55" s="60">
        <v>0.37285707602694707</v>
      </c>
      <c r="AW55" s="66">
        <f t="shared" si="29"/>
        <v>6.7403022991608441E-2</v>
      </c>
      <c r="AX55" s="60">
        <v>0.37355155656886607</v>
      </c>
      <c r="AY55">
        <v>0.20778281049808636</v>
      </c>
      <c r="AZ55" s="60">
        <v>0.37496718120035361</v>
      </c>
    </row>
    <row r="56" spans="6:52" x14ac:dyDescent="0.3">
      <c r="F56" s="28" t="s">
        <v>75</v>
      </c>
      <c r="G56" s="27">
        <f>(G35-G52)*G31/G35</f>
        <v>0.25030503075997845</v>
      </c>
      <c r="H56" s="18"/>
      <c r="S56">
        <v>1.0146615430009409</v>
      </c>
      <c r="T56" s="60">
        <v>0.28122357928494018</v>
      </c>
      <c r="U56">
        <v>0.35667068364370541</v>
      </c>
      <c r="V56" s="60">
        <v>0.32872176247022356</v>
      </c>
      <c r="W56" s="9">
        <v>0.33208611814609296</v>
      </c>
      <c r="X56" s="60">
        <v>0.34852041102115622</v>
      </c>
      <c r="Y56">
        <v>0.34417498603186686</v>
      </c>
      <c r="Z56" s="60">
        <v>0.33503916754175711</v>
      </c>
      <c r="AA56">
        <v>0.36435260842782757</v>
      </c>
      <c r="AB56" s="60">
        <v>0.32727639655650531</v>
      </c>
      <c r="AC56" s="12">
        <v>0.44213082283659683</v>
      </c>
      <c r="AD56" s="60">
        <v>0.30744399368312025</v>
      </c>
      <c r="AE56">
        <v>0.43960531640181666</v>
      </c>
      <c r="AF56" s="60">
        <v>0.30675444845835048</v>
      </c>
      <c r="AG56" s="9">
        <f t="shared" si="26"/>
        <v>5.5526118198856889E-2</v>
      </c>
      <c r="AH56" s="60">
        <v>0.33431357649591442</v>
      </c>
      <c r="AI56">
        <f t="shared" si="27"/>
        <v>5.5526118198856889E-2</v>
      </c>
      <c r="AJ56" s="60">
        <v>0.33306845740098373</v>
      </c>
      <c r="AK56" s="9">
        <v>0.36895447470613857</v>
      </c>
      <c r="AL56" s="60">
        <v>0.33047212557781797</v>
      </c>
      <c r="AM56" s="9">
        <v>0.37211935974906502</v>
      </c>
      <c r="AN56" s="9">
        <v>0.29844726194172028</v>
      </c>
      <c r="AO56" s="9">
        <f t="shared" si="28"/>
        <v>5.5526118198856889E-2</v>
      </c>
      <c r="AP56" s="60">
        <v>0.35137475998756412</v>
      </c>
      <c r="AQ56" s="9">
        <v>0.29844726194172028</v>
      </c>
      <c r="AR56" s="60">
        <v>0.35137475998756412</v>
      </c>
      <c r="AS56" s="9">
        <v>0.35971321707910386</v>
      </c>
      <c r="AT56" s="60">
        <v>0.33540774754267488</v>
      </c>
      <c r="AU56" s="9">
        <v>0.3489780648712435</v>
      </c>
      <c r="AV56" s="60">
        <v>0.33778050503559809</v>
      </c>
      <c r="AW56" s="66">
        <f t="shared" si="29"/>
        <v>0.1166813397753762</v>
      </c>
      <c r="AX56" s="60">
        <v>0.33877986924160958</v>
      </c>
      <c r="AY56">
        <v>0.35642123808853743</v>
      </c>
      <c r="AZ56" s="60">
        <v>0.33954684058590778</v>
      </c>
    </row>
    <row r="57" spans="6:52" x14ac:dyDescent="0.3">
      <c r="F57" s="16"/>
      <c r="G57" s="17">
        <f>cal_inv_hlls(0.5,G56)</f>
        <v>0.29827548159516065</v>
      </c>
      <c r="H57" s="18"/>
      <c r="S57">
        <v>1.7498808335891443</v>
      </c>
      <c r="T57" s="60">
        <v>0.25817296920221211</v>
      </c>
      <c r="U57">
        <v>0.99948022752940102</v>
      </c>
      <c r="V57" s="60">
        <v>0.27561054466388146</v>
      </c>
      <c r="W57" s="9">
        <v>0.91225718808363876</v>
      </c>
      <c r="X57" s="60">
        <v>0.29297564792078729</v>
      </c>
      <c r="Y57">
        <v>0.94400112696935634</v>
      </c>
      <c r="Z57" s="60">
        <v>0.28165691797640796</v>
      </c>
      <c r="AA57">
        <v>1.0319853998349293</v>
      </c>
      <c r="AB57" s="60">
        <v>0.27409745812925007</v>
      </c>
      <c r="AC57" s="12">
        <v>1.2974921135132105</v>
      </c>
      <c r="AD57" s="60">
        <v>0.25721873945825591</v>
      </c>
      <c r="AE57">
        <v>1.2869959317055357</v>
      </c>
      <c r="AF57" s="60">
        <v>0.25667711042431635</v>
      </c>
      <c r="AG57" s="9">
        <f t="shared" si="26"/>
        <v>9.6639850090593046E-2</v>
      </c>
      <c r="AH57" s="60">
        <v>0.28157665046430608</v>
      </c>
      <c r="AI57">
        <f t="shared" si="27"/>
        <v>9.6639850090593046E-2</v>
      </c>
      <c r="AJ57" s="60">
        <v>0.27941465286188039</v>
      </c>
      <c r="AK57" s="9">
        <v>1.0131139018854545</v>
      </c>
      <c r="AL57" s="60">
        <v>0.27812864100633777</v>
      </c>
      <c r="AM57" s="9">
        <v>1.0346368406011468</v>
      </c>
      <c r="AN57" s="9">
        <v>0.77886673815682494</v>
      </c>
      <c r="AO57" s="9">
        <f t="shared" si="28"/>
        <v>9.6639850090593046E-2</v>
      </c>
      <c r="AP57" s="60">
        <v>0.29711567808191441</v>
      </c>
      <c r="AQ57" s="9">
        <v>0.77886673815682494</v>
      </c>
      <c r="AR57" s="60">
        <v>0.29711567808191441</v>
      </c>
      <c r="AS57" s="9">
        <v>1.0060776223711343</v>
      </c>
      <c r="AT57" s="60">
        <v>0.28145028262769256</v>
      </c>
      <c r="AU57" s="9">
        <v>0.97737407377048013</v>
      </c>
      <c r="AV57" s="60">
        <v>0.28323509456946627</v>
      </c>
      <c r="AW57" s="66">
        <f t="shared" si="29"/>
        <v>0.20738399759386178</v>
      </c>
      <c r="AX57" s="60">
        <v>0.28548758980869215</v>
      </c>
      <c r="AY57">
        <v>0.99367243609892464</v>
      </c>
      <c r="AZ57" s="60">
        <v>0.28506462102615826</v>
      </c>
    </row>
    <row r="58" spans="6:52" ht="15" thickBot="1" x14ac:dyDescent="0.35">
      <c r="F58" s="29" t="s">
        <v>76</v>
      </c>
      <c r="G58" s="20">
        <f>G57*G9</f>
        <v>1.1364295848775621E-2</v>
      </c>
      <c r="H58" s="21"/>
      <c r="S58">
        <v>1.890380102763412</v>
      </c>
      <c r="T58" s="60">
        <v>0.25524016739638927</v>
      </c>
      <c r="U58">
        <v>1.7551904219138619</v>
      </c>
      <c r="V58" s="60">
        <v>0.25227343629889143</v>
      </c>
      <c r="W58" s="9">
        <v>1.6573948956227011</v>
      </c>
      <c r="X58" s="60">
        <v>0.26645791569044841</v>
      </c>
      <c r="Y58">
        <v>1.7223479002021564</v>
      </c>
      <c r="Z58" s="60">
        <v>0.25614814458267282</v>
      </c>
      <c r="AA58">
        <v>1.7706185114382984</v>
      </c>
      <c r="AB58" s="60">
        <v>0.25185894503202017</v>
      </c>
      <c r="AC58" s="12">
        <v>1.7997089769309136</v>
      </c>
      <c r="AD58" s="60">
        <v>0.2445883827619223</v>
      </c>
      <c r="AE58">
        <v>1.7746721912716954</v>
      </c>
      <c r="AF58" s="60">
        <v>0.24427364967262438</v>
      </c>
      <c r="AG58" s="9">
        <f t="shared" si="26"/>
        <v>0.1753943997014486</v>
      </c>
      <c r="AH58" s="60">
        <v>0.2582400521968452</v>
      </c>
      <c r="AI58">
        <f t="shared" si="27"/>
        <v>0.1753943997014486</v>
      </c>
      <c r="AJ58" s="60">
        <v>0.25559914908905007</v>
      </c>
      <c r="AK58" s="9">
        <v>1.7659265999896427</v>
      </c>
      <c r="AL58" s="60">
        <v>0.25494586617434134</v>
      </c>
      <c r="AM58" s="9">
        <v>1.7756740867870431</v>
      </c>
      <c r="AN58" s="9">
        <v>1.4436596926419902</v>
      </c>
      <c r="AO58" s="9">
        <f t="shared" si="28"/>
        <v>0.1753943997014486</v>
      </c>
      <c r="AP58" s="60">
        <v>0.26885460138316342</v>
      </c>
      <c r="AQ58" s="9">
        <v>1.4436596926419902</v>
      </c>
      <c r="AR58" s="60">
        <v>0.26885460138316342</v>
      </c>
      <c r="AS58" s="9">
        <v>1.7346245668200995</v>
      </c>
      <c r="AT58" s="60">
        <v>0.25834055658998406</v>
      </c>
      <c r="AU58" s="9">
        <v>1.7222642533731285</v>
      </c>
      <c r="AV58" s="60">
        <v>0.25901706518849793</v>
      </c>
      <c r="AW58" s="66">
        <f t="shared" si="29"/>
        <v>0.38311209175513783</v>
      </c>
      <c r="AX58" s="60">
        <v>0.25920383069633202</v>
      </c>
      <c r="AY58">
        <v>1.7117596460294082</v>
      </c>
      <c r="AZ58" s="60">
        <v>0.2616453000852052</v>
      </c>
    </row>
    <row r="59" spans="6:52" x14ac:dyDescent="0.3">
      <c r="G59" s="3"/>
      <c r="U59">
        <v>1.8495041420966318</v>
      </c>
      <c r="V59" s="60">
        <v>0.25032701134351137</v>
      </c>
      <c r="W59" s="9">
        <v>1.6686170195233623</v>
      </c>
      <c r="X59" s="60">
        <v>0.2661866277236678</v>
      </c>
      <c r="Y59">
        <v>1.7517169112599764</v>
      </c>
      <c r="Z59" s="60">
        <v>0.25550405808427779</v>
      </c>
      <c r="AA59">
        <v>1.9073094625356133</v>
      </c>
      <c r="AB59" s="60">
        <v>0.24911020956257832</v>
      </c>
      <c r="AC59" s="12"/>
      <c r="AG59" s="9">
        <f t="shared" si="26"/>
        <v>0.33127004175383995</v>
      </c>
      <c r="AH59" s="60">
        <v>0.25524127431677374</v>
      </c>
      <c r="AI59">
        <f t="shared" si="27"/>
        <v>0.33127004175383995</v>
      </c>
      <c r="AJ59" s="60">
        <v>0.25380704641416696</v>
      </c>
      <c r="AK59" s="9">
        <v>1.9048181753808511</v>
      </c>
      <c r="AL59" s="60">
        <v>0.25211634467688454</v>
      </c>
      <c r="AM59" s="9">
        <v>1.9343699040637237</v>
      </c>
      <c r="AN59" s="9">
        <v>1.6709519000627089</v>
      </c>
      <c r="AO59" s="9">
        <f t="shared" si="28"/>
        <v>0.33127004175383995</v>
      </c>
      <c r="AP59" s="60">
        <v>0.26294008795699908</v>
      </c>
      <c r="AQ59" s="9">
        <v>1.6709519000627089</v>
      </c>
      <c r="AR59" s="60">
        <v>0.26294008795699908</v>
      </c>
      <c r="AS59" s="9">
        <v>1.8568544481852813</v>
      </c>
      <c r="AT59" s="60">
        <v>0.25573645197113098</v>
      </c>
      <c r="AU59" s="9">
        <v>1.7934822995250934</v>
      </c>
      <c r="AV59" s="60">
        <v>0.25745777455446595</v>
      </c>
      <c r="AW59" s="66">
        <f t="shared" si="29"/>
        <v>0.72949961479584069</v>
      </c>
      <c r="AX59" s="60">
        <v>0.25867195607707005</v>
      </c>
      <c r="AY59">
        <v>1.8293726862394661</v>
      </c>
      <c r="AZ59" s="60">
        <v>0.25906091126732866</v>
      </c>
    </row>
    <row r="60" spans="6:52" x14ac:dyDescent="0.3">
      <c r="F60" t="s">
        <v>81</v>
      </c>
      <c r="G60" s="3">
        <f>AL54</f>
        <v>0.42475152972931218</v>
      </c>
      <c r="Y60" s="66"/>
      <c r="AM60" s="9"/>
      <c r="AV60" s="9"/>
      <c r="AW60" s="66"/>
    </row>
    <row r="61" spans="6:52" x14ac:dyDescent="0.3">
      <c r="F61" t="s">
        <v>82</v>
      </c>
      <c r="G61" s="3">
        <f>G29/G46/(G31-G60)*(G11/G29-G60+0.2*(G31-G60))</f>
        <v>-0.10255038408105979</v>
      </c>
      <c r="S61" t="s">
        <v>173</v>
      </c>
      <c r="T61" t="s">
        <v>175</v>
      </c>
      <c r="AV61" s="9"/>
      <c r="AW61" s="9"/>
    </row>
    <row r="62" spans="6:52" x14ac:dyDescent="0.3">
      <c r="F62" t="s">
        <v>84</v>
      </c>
      <c r="G62" s="3">
        <f>AO53</f>
        <v>1.2331254678685254E-2</v>
      </c>
      <c r="S62">
        <v>0</v>
      </c>
      <c r="T62">
        <f>T38</f>
        <v>0.78847347066568618</v>
      </c>
      <c r="AV62" s="9"/>
      <c r="AW62" s="9"/>
    </row>
    <row r="63" spans="6:52" x14ac:dyDescent="0.3">
      <c r="S63">
        <f>T42/T39</f>
        <v>8.5037588588978669E-2</v>
      </c>
      <c r="T63">
        <f t="shared" ref="T63:T77" si="30">T44</f>
        <v>0.78847347062723705</v>
      </c>
      <c r="AV63" s="9"/>
      <c r="AW63" s="9"/>
    </row>
    <row r="64" spans="6:52" x14ac:dyDescent="0.3">
      <c r="F64" t="s">
        <v>97</v>
      </c>
      <c r="G64" s="3">
        <f>G14*G10*0.238934</f>
        <v>0.2713133114972458</v>
      </c>
      <c r="H64">
        <f>G14*G10*AL72</f>
        <v>0</v>
      </c>
      <c r="S64">
        <f t="shared" ref="S64:S77" si="31">$S$63+S45</f>
        <v>8.5037867609695339E-2</v>
      </c>
      <c r="T64">
        <f t="shared" si="30"/>
        <v>0.78845963239781625</v>
      </c>
      <c r="AV64" s="9"/>
      <c r="AW64" s="9"/>
    </row>
    <row r="65" spans="1:49" x14ac:dyDescent="0.3">
      <c r="F65" t="s">
        <v>98</v>
      </c>
      <c r="G65" s="3">
        <f>G14*G43*G10*G31</f>
        <v>0.54695085619191375</v>
      </c>
      <c r="H65">
        <f>G14*G43*G10*G31</f>
        <v>0.54695085619191375</v>
      </c>
      <c r="S65">
        <f t="shared" si="31"/>
        <v>8.5321025865219668E-2</v>
      </c>
      <c r="T65">
        <f t="shared" si="30"/>
        <v>0.77544487057340095</v>
      </c>
      <c r="AV65" s="9"/>
      <c r="AW65" s="9"/>
    </row>
    <row r="66" spans="1:49" x14ac:dyDescent="0.3">
      <c r="F66" t="s">
        <v>99</v>
      </c>
      <c r="G66" s="6">
        <f>(G64+G65)*G46-G36</f>
        <v>0.455244222238119</v>
      </c>
      <c r="H66" s="7">
        <f>(H64+H65)*G46-G36</f>
        <v>9.673494283184414E-2</v>
      </c>
      <c r="S66">
        <f t="shared" si="31"/>
        <v>8.6467006959722634E-2</v>
      </c>
      <c r="T66">
        <f t="shared" si="30"/>
        <v>0.73638986030188502</v>
      </c>
      <c r="AV66" s="9"/>
      <c r="AW66" s="9"/>
    </row>
    <row r="67" spans="1:49" x14ac:dyDescent="0.3">
      <c r="F67" t="s">
        <v>100</v>
      </c>
      <c r="G67" s="3">
        <f>G12*G14</f>
        <v>0.53400000000000003</v>
      </c>
      <c r="S67">
        <f t="shared" si="31"/>
        <v>8.7660989819375618E-2</v>
      </c>
      <c r="T67">
        <f t="shared" si="30"/>
        <v>0.70805452318698636</v>
      </c>
      <c r="AV67" s="9"/>
      <c r="AW67" s="9"/>
    </row>
    <row r="68" spans="1:49" x14ac:dyDescent="0.3">
      <c r="F68" t="s">
        <v>102</v>
      </c>
      <c r="G68" s="3">
        <f>G65*G46</f>
        <v>0.72273253472857568</v>
      </c>
      <c r="S68">
        <f t="shared" si="31"/>
        <v>9.0442086873464986E-2</v>
      </c>
      <c r="T68">
        <f t="shared" si="30"/>
        <v>0.66341067450874014</v>
      </c>
      <c r="AV68" s="9"/>
      <c r="AW68" s="9"/>
    </row>
    <row r="69" spans="1:49" x14ac:dyDescent="0.3">
      <c r="F69" t="s">
        <v>103</v>
      </c>
      <c r="G69" s="3">
        <f>G64*G46</f>
        <v>0.35850927940627486</v>
      </c>
      <c r="S69">
        <f t="shared" si="31"/>
        <v>9.3993718681370186E-2</v>
      </c>
      <c r="T69">
        <f t="shared" si="30"/>
        <v>0.62617730068309141</v>
      </c>
      <c r="AV69" s="9"/>
      <c r="AW69" s="9"/>
    </row>
    <row r="70" spans="1:49" x14ac:dyDescent="0.3">
      <c r="F70" t="s">
        <v>43</v>
      </c>
      <c r="G70" s="3">
        <f>G36</f>
        <v>0.62599759189673154</v>
      </c>
      <c r="S70">
        <f t="shared" si="31"/>
        <v>0.102564116942612</v>
      </c>
      <c r="T70">
        <f t="shared" si="30"/>
        <v>0.57147156624741824</v>
      </c>
      <c r="U70" s="9"/>
      <c r="V70" s="9"/>
      <c r="W70" s="9"/>
      <c r="X70" s="9"/>
      <c r="Y70" s="9"/>
      <c r="Z70" s="9"/>
      <c r="AA70" s="11"/>
      <c r="AB70" s="11"/>
      <c r="AC70" s="9"/>
      <c r="AD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V70" s="9"/>
      <c r="AW70" s="9"/>
    </row>
    <row r="71" spans="1:49" x14ac:dyDescent="0.3">
      <c r="G71" s="3"/>
      <c r="S71">
        <f t="shared" si="31"/>
        <v>0.11330820484573659</v>
      </c>
      <c r="T71">
        <f t="shared" si="30"/>
        <v>0.53063447359429361</v>
      </c>
      <c r="U71" s="9"/>
      <c r="V71" s="9"/>
      <c r="W71" s="9"/>
      <c r="X71" s="9"/>
      <c r="Y71" s="9"/>
      <c r="Z71" s="9"/>
      <c r="AA71" s="11"/>
      <c r="AB71" s="11"/>
      <c r="AC71" s="9"/>
      <c r="AD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V71" s="9"/>
      <c r="AW71" s="9"/>
    </row>
    <row r="72" spans="1:49" x14ac:dyDescent="0.3">
      <c r="F72" t="s">
        <v>104</v>
      </c>
      <c r="G72" s="3">
        <f>AO54</f>
        <v>1.9999684227906239E-2</v>
      </c>
      <c r="H72">
        <f>AO71</f>
        <v>0</v>
      </c>
      <c r="S72">
        <f t="shared" si="31"/>
        <v>0.14353074490281753</v>
      </c>
      <c r="T72">
        <f t="shared" si="30"/>
        <v>0.46882648709561475</v>
      </c>
      <c r="U72" s="9"/>
      <c r="V72" s="9"/>
      <c r="W72" s="9"/>
      <c r="X72" s="9"/>
      <c r="Y72" s="9"/>
      <c r="Z72" s="9"/>
      <c r="AA72" s="11"/>
      <c r="AB72" s="11"/>
      <c r="AC72" s="9"/>
      <c r="AD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V72" s="9"/>
      <c r="AW72" s="9"/>
    </row>
    <row r="73" spans="1:49" x14ac:dyDescent="0.3">
      <c r="F73" t="s">
        <v>105</v>
      </c>
      <c r="G73" s="62">
        <v>8.2077536090857384E-2</v>
      </c>
      <c r="H73">
        <f>H72*G10*G14/G35</f>
        <v>0</v>
      </c>
      <c r="S73">
        <f t="shared" si="31"/>
        <v>0.17997044490187675</v>
      </c>
      <c r="T73">
        <f t="shared" si="30"/>
        <v>0.42940782296160174</v>
      </c>
      <c r="U73" s="9"/>
      <c r="V73" s="9"/>
      <c r="W73" s="9"/>
      <c r="X73" s="9"/>
      <c r="Y73" s="9"/>
      <c r="Z73" s="9"/>
      <c r="AA73" s="11"/>
      <c r="AB73" s="11"/>
      <c r="AC73" s="9"/>
      <c r="AD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V73" s="9"/>
      <c r="AW73" s="9"/>
    </row>
    <row r="74" spans="1:49" x14ac:dyDescent="0.3">
      <c r="A74">
        <f>A88/G9</f>
        <v>0.52493438320209973</v>
      </c>
      <c r="F74" t="s">
        <v>106</v>
      </c>
      <c r="G74" s="3">
        <f>G29*G10*G14*G31*G43/G35</f>
        <v>0.38681887496874595</v>
      </c>
      <c r="H74">
        <f>G29*G10*G14*G31*G43/G35</f>
        <v>0.38681887496874595</v>
      </c>
      <c r="S74">
        <f t="shared" si="31"/>
        <v>0.29556658767753463</v>
      </c>
      <c r="T74">
        <f t="shared" si="30"/>
        <v>0.37048188205778487</v>
      </c>
      <c r="U74" s="9"/>
      <c r="V74" s="9"/>
      <c r="W74" s="9"/>
      <c r="X74" s="9"/>
      <c r="Y74" s="9"/>
      <c r="Z74" s="9"/>
      <c r="AA74" s="11"/>
      <c r="AB74" s="11"/>
      <c r="AC74" s="9"/>
      <c r="AD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V74" s="9"/>
      <c r="AW74" s="9"/>
    </row>
    <row r="75" spans="1:49" x14ac:dyDescent="0.3">
      <c r="G75" s="6">
        <f>(G74+G73)*G46</f>
        <v>0.61959257921214572</v>
      </c>
      <c r="H75" s="7">
        <f>(H74+H73)*G46</f>
        <v>0.51113657254962519</v>
      </c>
      <c r="S75">
        <f t="shared" si="31"/>
        <v>1.0996991315899196</v>
      </c>
      <c r="T75">
        <f t="shared" si="30"/>
        <v>0.28122357928494018</v>
      </c>
      <c r="U75" s="9"/>
      <c r="V75" s="9"/>
      <c r="W75" s="9"/>
      <c r="X75" s="9"/>
      <c r="Y75" s="9"/>
      <c r="Z75" s="9"/>
      <c r="AA75" s="11"/>
      <c r="AB75" s="11"/>
      <c r="AC75" s="9"/>
      <c r="AD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V75" s="9"/>
      <c r="AW75" s="9"/>
    </row>
    <row r="76" spans="1:49" x14ac:dyDescent="0.3">
      <c r="S76">
        <f t="shared" si="31"/>
        <v>1.834918422178123</v>
      </c>
      <c r="T76">
        <f t="shared" si="30"/>
        <v>0.25817296920221211</v>
      </c>
      <c r="U76" s="9"/>
      <c r="V76" s="9"/>
      <c r="W76" s="9"/>
      <c r="X76" s="9"/>
      <c r="Y76" s="9"/>
      <c r="Z76" s="9"/>
      <c r="AA76" s="11"/>
      <c r="AB76" s="11"/>
      <c r="AC76" s="9"/>
      <c r="AD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V76" s="9"/>
      <c r="AW76" s="9"/>
    </row>
    <row r="77" spans="1:49" x14ac:dyDescent="0.3">
      <c r="G77" s="3"/>
      <c r="S77">
        <f t="shared" si="31"/>
        <v>1.9754176913523906</v>
      </c>
      <c r="T77">
        <f t="shared" si="30"/>
        <v>0.25524016739638927</v>
      </c>
      <c r="U77" s="9"/>
      <c r="V77" s="9"/>
      <c r="W77" s="9"/>
      <c r="X77" s="9"/>
      <c r="Y77" s="9"/>
      <c r="Z77" s="9"/>
      <c r="AA77" s="11"/>
      <c r="AB77" s="11"/>
      <c r="AC77" s="9"/>
      <c r="AD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V77" s="9"/>
      <c r="AW77" s="9"/>
    </row>
    <row r="78" spans="1:49" x14ac:dyDescent="0.3">
      <c r="G78" s="3"/>
      <c r="S78">
        <f>S77</f>
        <v>1.9754176913523906</v>
      </c>
      <c r="T78">
        <f>V38</f>
        <v>0.7794832177885358</v>
      </c>
      <c r="U78" s="9"/>
      <c r="V78" s="9"/>
      <c r="W78" s="9"/>
      <c r="X78" s="9"/>
      <c r="Y78" s="9"/>
      <c r="Z78" s="9"/>
      <c r="AA78" s="11"/>
      <c r="AB78" s="11"/>
      <c r="AC78" s="9"/>
      <c r="AD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V78" s="9"/>
      <c r="AW78" s="9"/>
    </row>
    <row r="79" spans="1:49" x14ac:dyDescent="0.3">
      <c r="G79" s="3"/>
      <c r="S79">
        <f>V42/V39+S77</f>
        <v>2.06019311999657</v>
      </c>
      <c r="T79">
        <f>V38</f>
        <v>0.7794832177885358</v>
      </c>
      <c r="U79" s="9"/>
      <c r="V79" s="9"/>
      <c r="W79" s="9"/>
      <c r="X79" s="9"/>
      <c r="Y79" s="9"/>
      <c r="Z79" s="9"/>
      <c r="AA79" s="11"/>
      <c r="AB79" s="11"/>
      <c r="AC79" s="9"/>
      <c r="AD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ht="15" thickBot="1" x14ac:dyDescent="0.35">
      <c r="G80" s="3"/>
      <c r="S80">
        <f t="shared" ref="S80:S95" si="32">$S$79+U44</f>
        <v>2.06019311999657</v>
      </c>
      <c r="T80" s="17">
        <v>0.77948321771723128</v>
      </c>
      <c r="U80" s="9"/>
      <c r="V80" s="9"/>
      <c r="W80" s="9"/>
      <c r="X80" s="9"/>
      <c r="Y80" s="9"/>
      <c r="Z80" s="9"/>
      <c r="AA80" s="11"/>
      <c r="AB80" s="11"/>
      <c r="AC80" s="9"/>
      <c r="AD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ht="15" thickBot="1" x14ac:dyDescent="0.35">
      <c r="A81" s="22"/>
      <c r="B81" s="23"/>
      <c r="C81" s="23" t="s">
        <v>153</v>
      </c>
      <c r="D81" s="23"/>
      <c r="E81" s="23"/>
      <c r="F81" s="23"/>
      <c r="G81" s="30"/>
      <c r="S81">
        <f t="shared" si="32"/>
        <v>2.0601933857554293</v>
      </c>
      <c r="T81" s="17">
        <v>0.7794702305572242</v>
      </c>
      <c r="U81" s="9"/>
      <c r="V81" s="9"/>
      <c r="W81" s="9"/>
      <c r="X81" s="9"/>
      <c r="Y81" s="9"/>
      <c r="Z81" s="9"/>
      <c r="AA81" s="11"/>
      <c r="AB81" s="11"/>
      <c r="AC81" s="9"/>
      <c r="AD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x14ac:dyDescent="0.3">
      <c r="A82" s="13"/>
      <c r="B82" s="14"/>
      <c r="C82" s="31" t="s">
        <v>109</v>
      </c>
      <c r="D82" s="14"/>
      <c r="E82" s="31" t="s">
        <v>109</v>
      </c>
      <c r="F82" s="14"/>
      <c r="G82" s="15"/>
      <c r="S82">
        <f t="shared" si="32"/>
        <v>2.0603719316045974</v>
      </c>
      <c r="T82" s="17">
        <v>0.77114983710057794</v>
      </c>
      <c r="U82" s="9"/>
      <c r="V82" s="9"/>
      <c r="W82" s="9"/>
      <c r="X82" s="9"/>
      <c r="Y82" s="9"/>
      <c r="Z82" s="9"/>
      <c r="AA82" s="11"/>
      <c r="AB82" s="11"/>
      <c r="AC82" s="9"/>
      <c r="AD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x14ac:dyDescent="0.3">
      <c r="A83" s="16"/>
      <c r="B83" s="17"/>
      <c r="C83" s="17" t="s">
        <v>68</v>
      </c>
      <c r="D83" s="17" t="s">
        <v>68</v>
      </c>
      <c r="E83" s="17" t="s">
        <v>107</v>
      </c>
      <c r="F83" s="17" t="s">
        <v>107</v>
      </c>
      <c r="G83" s="18" t="s">
        <v>108</v>
      </c>
      <c r="S83">
        <f t="shared" si="32"/>
        <v>2.061436696428435</v>
      </c>
      <c r="T83" s="17">
        <v>0.73303638567981411</v>
      </c>
      <c r="U83" s="9"/>
      <c r="V83" s="9"/>
      <c r="W83" s="9"/>
      <c r="X83" s="9"/>
      <c r="Y83" s="9"/>
      <c r="Z83" s="9"/>
      <c r="AA83" s="11"/>
      <c r="AB83" s="11"/>
      <c r="AC83" s="9"/>
      <c r="AD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x14ac:dyDescent="0.3">
      <c r="A84" s="16" t="s">
        <v>101</v>
      </c>
      <c r="B84" s="17" t="s">
        <v>100</v>
      </c>
      <c r="C84" s="17" t="s">
        <v>99</v>
      </c>
      <c r="D84" s="17" t="s">
        <v>99</v>
      </c>
      <c r="E84" s="17" t="s">
        <v>99</v>
      </c>
      <c r="F84" s="17" t="s">
        <v>99</v>
      </c>
      <c r="G84" s="18"/>
      <c r="S84">
        <f t="shared" si="32"/>
        <v>2.0626299250732325</v>
      </c>
      <c r="T84" s="17">
        <v>0.70328694863125485</v>
      </c>
      <c r="U84" s="9"/>
      <c r="V84" s="9"/>
      <c r="W84" s="9"/>
      <c r="X84" s="9"/>
      <c r="Y84" s="9"/>
      <c r="Z84" s="9"/>
      <c r="AA84" s="11"/>
      <c r="AB84" s="11"/>
      <c r="AC84" s="9"/>
      <c r="AD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x14ac:dyDescent="0.3">
      <c r="A85" s="16">
        <v>0.76200000000000001</v>
      </c>
      <c r="B85" s="17">
        <v>1.013414958195</v>
      </c>
      <c r="C85" s="17">
        <v>2.5503445816224524</v>
      </c>
      <c r="D85" s="17">
        <v>2.5493895521660415</v>
      </c>
      <c r="E85" s="17">
        <v>2.4838263568090859</v>
      </c>
      <c r="F85" s="17">
        <v>2.4828713273526746</v>
      </c>
      <c r="G85" s="18">
        <v>0.23372206753002156</v>
      </c>
      <c r="N85" s="2"/>
      <c r="S85">
        <f t="shared" si="32"/>
        <v>2.0652720152584427</v>
      </c>
      <c r="T85" s="17">
        <v>0.65885623360738332</v>
      </c>
      <c r="U85" s="9"/>
      <c r="V85" s="9"/>
      <c r="W85" s="9"/>
      <c r="X85" s="9"/>
      <c r="Y85" s="9"/>
      <c r="Z85" s="9"/>
      <c r="AA85" s="11"/>
      <c r="AB85" s="11"/>
      <c r="AC85" s="9"/>
      <c r="AD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x14ac:dyDescent="0.3">
      <c r="A86" s="16">
        <v>0.14542065648260266</v>
      </c>
      <c r="B86" s="17">
        <f>G67</f>
        <v>0.53400000000000003</v>
      </c>
      <c r="C86" s="27">
        <v>1.5474914515015732</v>
      </c>
      <c r="D86" s="17">
        <v>1.5440169704525226</v>
      </c>
      <c r="E86" s="17"/>
      <c r="F86" s="17"/>
      <c r="G86" s="18"/>
      <c r="N86" s="2"/>
      <c r="S86">
        <f t="shared" si="32"/>
        <v>2.068767943125366</v>
      </c>
      <c r="T86" s="17">
        <v>0.62056041788123739</v>
      </c>
      <c r="U86" s="9"/>
      <c r="V86" s="9"/>
      <c r="W86" s="9"/>
      <c r="X86" s="9"/>
      <c r="Y86" s="9"/>
      <c r="Z86" s="9"/>
      <c r="AA86" s="11"/>
      <c r="AB86" s="11"/>
      <c r="AC86" s="9"/>
      <c r="AD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x14ac:dyDescent="0.3">
      <c r="A87" s="16">
        <v>0.06</v>
      </c>
      <c r="B87" s="17">
        <v>1.0134149581949954</v>
      </c>
      <c r="C87" s="17">
        <v>1.3876597483827802</v>
      </c>
      <c r="D87" s="17">
        <v>1.3838362235143375</v>
      </c>
      <c r="E87" s="17"/>
      <c r="F87" s="17"/>
      <c r="G87" s="18"/>
      <c r="N87" s="2"/>
      <c r="S87">
        <f t="shared" si="32"/>
        <v>2.0769296071219876</v>
      </c>
      <c r="T87" s="17">
        <v>0.56620933274045793</v>
      </c>
      <c r="U87" s="9"/>
      <c r="V87" s="9"/>
      <c r="W87" s="9"/>
      <c r="X87" s="9"/>
      <c r="Y87" s="9"/>
      <c r="Z87" s="9"/>
      <c r="AA87" s="11"/>
      <c r="AB87" s="11"/>
      <c r="AC87" s="9"/>
      <c r="AD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x14ac:dyDescent="0.3">
      <c r="A88" s="16">
        <v>0.02</v>
      </c>
      <c r="B88" s="17">
        <v>1.0134149581949954</v>
      </c>
      <c r="C88" s="17">
        <v>1.3119589400231848</v>
      </c>
      <c r="D88" s="17">
        <v>1.3079719681227178</v>
      </c>
      <c r="E88" s="17"/>
      <c r="F88" s="17"/>
      <c r="G88" s="18"/>
      <c r="N88" s="2"/>
      <c r="S88">
        <f t="shared" si="32"/>
        <v>2.0874695018734135</v>
      </c>
      <c r="T88" s="60">
        <v>0.52453690573413347</v>
      </c>
      <c r="U88" s="9"/>
      <c r="V88" s="9"/>
      <c r="W88" s="9"/>
      <c r="X88" s="9"/>
      <c r="Y88" s="9"/>
      <c r="Z88" s="9"/>
      <c r="AA88" s="11"/>
      <c r="AB88" s="11"/>
      <c r="AC88" s="9"/>
      <c r="AD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x14ac:dyDescent="0.3">
      <c r="A89" s="16">
        <v>1E-4</v>
      </c>
      <c r="B89" s="17">
        <v>1.013414958195</v>
      </c>
      <c r="C89" s="17">
        <v>1.27398119010301</v>
      </c>
      <c r="D89" s="17">
        <v>1.2699129033041101</v>
      </c>
      <c r="E89" s="17">
        <v>0.85319303436743676</v>
      </c>
      <c r="F89" s="17">
        <v>0.84912474756853773</v>
      </c>
      <c r="G89" s="18">
        <v>0.99562206753002158</v>
      </c>
      <c r="N89" s="2"/>
      <c r="S89">
        <f t="shared" si="32"/>
        <v>2.1172798989432957</v>
      </c>
      <c r="T89" s="60">
        <v>0.46188500660829435</v>
      </c>
      <c r="U89" s="9"/>
      <c r="V89" s="9"/>
      <c r="W89" s="9"/>
      <c r="X89" s="9"/>
      <c r="Y89" s="9"/>
      <c r="Z89" s="9"/>
      <c r="AA89" s="11"/>
      <c r="AB89" s="11"/>
      <c r="AC89" s="9"/>
      <c r="AD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</row>
    <row r="90" spans="1:49" x14ac:dyDescent="0.3">
      <c r="A90" s="16">
        <v>7.6716969590625309E-2</v>
      </c>
      <c r="B90" s="17">
        <v>1.0134149581949954</v>
      </c>
      <c r="C90" s="17">
        <v>1.419216204096754</v>
      </c>
      <c r="D90" s="17">
        <v>1.4154609877049127</v>
      </c>
      <c r="E90" s="17">
        <v>1.0346945193495056</v>
      </c>
      <c r="F90" s="17">
        <v>1.0309393029576643</v>
      </c>
      <c r="G90" s="18">
        <v>0.91900509793939622</v>
      </c>
      <c r="N90" s="2"/>
      <c r="S90">
        <f t="shared" si="32"/>
        <v>2.15225342302683</v>
      </c>
      <c r="T90" s="60">
        <v>0.42313984219156819</v>
      </c>
      <c r="U90" s="9"/>
      <c r="V90" s="9"/>
      <c r="W90" s="9"/>
      <c r="X90" s="9"/>
      <c r="Y90" s="9"/>
      <c r="Z90" s="9"/>
      <c r="AA90" s="11"/>
      <c r="AB90" s="11"/>
      <c r="AC90" s="9"/>
      <c r="AD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ht="15" thickBot="1" x14ac:dyDescent="0.35">
      <c r="A91" s="32">
        <f>(1.013414958195-0.8488874)/2.373032</f>
        <v>6.9332212205735155E-2</v>
      </c>
      <c r="B91" s="33">
        <v>1.013414958195</v>
      </c>
      <c r="C91" s="33">
        <v>1.4053211201634199</v>
      </c>
      <c r="D91" s="33">
        <v>1.4015357283546599</v>
      </c>
      <c r="E91" s="33">
        <v>1.0174269543596564</v>
      </c>
      <c r="F91" s="33">
        <v>1.0136415625508901</v>
      </c>
      <c r="G91" s="34">
        <v>0.92638985532428597</v>
      </c>
      <c r="N91" s="2"/>
      <c r="S91">
        <f t="shared" si="32"/>
        <v>2.2673279694285875</v>
      </c>
      <c r="T91" s="60">
        <v>0.36361129347140247</v>
      </c>
      <c r="U91" s="9"/>
      <c r="V91" s="9"/>
      <c r="W91" s="9"/>
      <c r="X91" s="9"/>
      <c r="Y91" s="9"/>
      <c r="Z91" s="9"/>
      <c r="AA91" s="11"/>
      <c r="AB91" s="11"/>
      <c r="AC91" s="9"/>
      <c r="AD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x14ac:dyDescent="0.3">
      <c r="N92" s="2"/>
      <c r="S92">
        <f t="shared" si="32"/>
        <v>2.4168638036402754</v>
      </c>
      <c r="T92" s="60">
        <v>0.32872176247022356</v>
      </c>
      <c r="U92" s="9"/>
      <c r="V92" s="9"/>
      <c r="W92" s="9"/>
      <c r="X92" s="9"/>
      <c r="Y92" s="9"/>
      <c r="Z92" s="9"/>
      <c r="AA92" s="11"/>
      <c r="AB92" s="11"/>
      <c r="AC92" s="9"/>
      <c r="AD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x14ac:dyDescent="0.3">
      <c r="E93">
        <f>B91-R29</f>
        <v>0.99286316862126955</v>
      </c>
      <c r="N93" s="2"/>
      <c r="S93">
        <f t="shared" si="32"/>
        <v>3.0596733475259708</v>
      </c>
      <c r="T93" s="60">
        <v>0.27561054466388146</v>
      </c>
      <c r="U93" s="9"/>
      <c r="V93" s="9"/>
      <c r="W93" s="9"/>
      <c r="X93" s="9"/>
      <c r="Y93" s="9"/>
      <c r="Z93" s="9"/>
      <c r="AA93" s="11"/>
      <c r="AB93" s="11"/>
      <c r="AC93" s="9"/>
      <c r="AD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x14ac:dyDescent="0.3">
      <c r="N94" s="2"/>
      <c r="S94">
        <f t="shared" si="32"/>
        <v>3.8153835419104318</v>
      </c>
      <c r="T94" s="60">
        <v>0.25227343629889099</v>
      </c>
      <c r="U94" s="9"/>
      <c r="V94" s="9"/>
      <c r="W94" s="9"/>
      <c r="X94" s="9"/>
      <c r="Y94" s="9"/>
      <c r="Z94" s="9"/>
      <c r="AA94" s="11"/>
      <c r="AB94" s="11"/>
      <c r="AC94" s="9"/>
      <c r="AD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x14ac:dyDescent="0.3">
      <c r="N95" s="2"/>
      <c r="S95">
        <f t="shared" si="32"/>
        <v>3.9096972620932018</v>
      </c>
      <c r="T95" s="60">
        <v>0.25032701134351099</v>
      </c>
      <c r="U95" s="9"/>
      <c r="V95" s="9"/>
      <c r="W95" s="9"/>
      <c r="X95" s="9"/>
      <c r="Y95" s="9"/>
      <c r="Z95" s="9"/>
      <c r="AA95" s="11"/>
      <c r="AB95" s="11"/>
      <c r="AC95" s="9"/>
      <c r="AD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x14ac:dyDescent="0.3">
      <c r="N96" s="2"/>
      <c r="S96">
        <f>S95</f>
        <v>3.9096972620932018</v>
      </c>
      <c r="T96" s="9">
        <f>X38</f>
        <v>0.797567413583816</v>
      </c>
      <c r="U96" s="9"/>
      <c r="V96" s="9"/>
      <c r="W96" s="9"/>
      <c r="X96" s="9"/>
      <c r="Y96" s="9"/>
      <c r="Z96" s="9"/>
      <c r="AA96" s="11"/>
      <c r="AB96" s="11"/>
      <c r="AC96" s="9"/>
      <c r="AD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spans="1:49" x14ac:dyDescent="0.3">
      <c r="A97" t="s">
        <v>122</v>
      </c>
      <c r="B97">
        <f>0.25*(PI()-ACOS(2*C148-1)+(2*C148-1)*(1-(2*C148-1)^2)^0.5)</f>
        <v>0.35461645739325781</v>
      </c>
      <c r="N97" s="2"/>
      <c r="S97">
        <f>X42/X39+S95</f>
        <v>4.0163542197521354</v>
      </c>
      <c r="T97" s="9">
        <f t="shared" ref="T97:T112" si="33">X44</f>
        <v>0.79756741356752814</v>
      </c>
      <c r="U97" s="9"/>
      <c r="V97" s="9"/>
      <c r="W97" s="9"/>
      <c r="X97" s="9"/>
      <c r="Y97" s="9"/>
      <c r="Z97" s="9"/>
      <c r="AA97" s="11"/>
      <c r="AB97" s="11"/>
      <c r="AC97" s="9"/>
      <c r="AD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</row>
    <row r="98" spans="1:49" x14ac:dyDescent="0.3">
      <c r="A98" t="s">
        <v>121</v>
      </c>
      <c r="N98" s="2"/>
      <c r="S98">
        <f t="shared" ref="S98:S112" si="34">$S$97+W45</f>
        <v>4.0163545134278174</v>
      </c>
      <c r="T98" s="9">
        <f t="shared" si="33"/>
        <v>0.79755261411594436</v>
      </c>
      <c r="U98" s="9"/>
      <c r="V98" s="9"/>
      <c r="W98" s="9"/>
      <c r="X98" s="9"/>
      <c r="Y98" s="9"/>
      <c r="Z98" s="9"/>
      <c r="AA98" s="11"/>
      <c r="AB98" s="11"/>
      <c r="AC98" s="9"/>
      <c r="AD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</row>
    <row r="99" spans="1:49" x14ac:dyDescent="0.3">
      <c r="N99" s="2"/>
      <c r="S99">
        <f t="shared" si="34"/>
        <v>4.0166536620373821</v>
      </c>
      <c r="T99" s="9">
        <f t="shared" si="33"/>
        <v>0.78368039137736012</v>
      </c>
      <c r="U99" s="9"/>
      <c r="V99" s="9"/>
      <c r="W99" s="9"/>
      <c r="X99" s="9"/>
      <c r="Y99" s="9"/>
      <c r="Z99" s="9"/>
      <c r="AA99" s="11"/>
      <c r="AB99" s="11"/>
      <c r="AC99" s="9"/>
      <c r="AD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</row>
    <row r="100" spans="1:49" x14ac:dyDescent="0.3">
      <c r="N100" s="2"/>
      <c r="S100">
        <f t="shared" si="34"/>
        <v>4.0177349624310574</v>
      </c>
      <c r="T100" s="9">
        <f t="shared" si="33"/>
        <v>0.74649667195619396</v>
      </c>
      <c r="U100" s="9"/>
      <c r="V100" s="9"/>
      <c r="W100" s="9"/>
      <c r="X100" s="9"/>
      <c r="Y100" s="9"/>
      <c r="Z100" s="9"/>
      <c r="AA100" s="11"/>
      <c r="AB100" s="11"/>
      <c r="AC100" s="9"/>
      <c r="AD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x14ac:dyDescent="0.3">
      <c r="N101" s="2"/>
      <c r="S101">
        <f t="shared" si="34"/>
        <v>4.0188752455213699</v>
      </c>
      <c r="T101" s="9">
        <f t="shared" si="33"/>
        <v>0.71897059106499273</v>
      </c>
      <c r="U101" s="9"/>
      <c r="V101" s="9"/>
      <c r="W101" s="9"/>
      <c r="X101" s="9"/>
      <c r="Y101" s="9"/>
      <c r="Z101" s="9"/>
      <c r="AA101" s="11"/>
      <c r="AB101" s="11"/>
      <c r="AC101" s="9"/>
      <c r="AD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x14ac:dyDescent="0.3">
      <c r="N102" s="2"/>
      <c r="S102">
        <f t="shared" si="34"/>
        <v>4.0214228636294118</v>
      </c>
      <c r="T102" s="9">
        <f t="shared" si="33"/>
        <v>0.67680777430385075</v>
      </c>
      <c r="U102" s="9"/>
      <c r="V102" s="9"/>
      <c r="W102" s="9"/>
      <c r="X102" s="9"/>
      <c r="Y102" s="9"/>
      <c r="Z102" s="9"/>
      <c r="AA102" s="11"/>
      <c r="AB102" s="11"/>
      <c r="AC102" s="9"/>
      <c r="AD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x14ac:dyDescent="0.3">
      <c r="N103" s="2"/>
      <c r="S103">
        <f t="shared" si="34"/>
        <v>4.0247987406818657</v>
      </c>
      <c r="T103" s="9">
        <f t="shared" si="33"/>
        <v>0.63991649862067512</v>
      </c>
      <c r="U103" s="9"/>
      <c r="V103" s="9"/>
      <c r="W103" s="9"/>
      <c r="X103" s="9"/>
      <c r="Y103" s="9"/>
      <c r="Z103" s="9"/>
      <c r="AA103" s="11"/>
      <c r="AB103" s="11"/>
      <c r="AC103" s="9"/>
      <c r="AD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</row>
    <row r="104" spans="1:49" x14ac:dyDescent="0.3">
      <c r="N104" s="2"/>
      <c r="S104">
        <f t="shared" si="34"/>
        <v>4.032331298228562</v>
      </c>
      <c r="T104" s="9">
        <f t="shared" si="33"/>
        <v>0.5886702357178728</v>
      </c>
      <c r="U104" s="9"/>
      <c r="V104" s="9"/>
      <c r="W104" s="9"/>
      <c r="X104" s="9"/>
      <c r="Y104" s="9"/>
      <c r="Z104" s="9"/>
      <c r="AA104" s="11"/>
      <c r="AB104" s="11"/>
      <c r="AC104" s="9"/>
      <c r="AD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</row>
    <row r="105" spans="1:49" x14ac:dyDescent="0.3">
      <c r="N105" s="2"/>
      <c r="S105">
        <f t="shared" si="34"/>
        <v>4.0425981850860548</v>
      </c>
      <c r="T105" s="9">
        <f t="shared" si="33"/>
        <v>0.54652015702573919</v>
      </c>
      <c r="U105" s="9"/>
      <c r="V105" s="9"/>
      <c r="W105" s="9"/>
      <c r="X105" s="9"/>
      <c r="Y105" s="9"/>
      <c r="Z105" s="9"/>
      <c r="AA105" s="11"/>
      <c r="AB105" s="11"/>
      <c r="AC105" s="9"/>
      <c r="AD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</row>
    <row r="106" spans="1:49" x14ac:dyDescent="0.3">
      <c r="N106" s="2"/>
      <c r="S106">
        <f t="shared" si="34"/>
        <v>4.0709727383352448</v>
      </c>
      <c r="T106" s="9">
        <f t="shared" si="33"/>
        <v>0.48393966524174775</v>
      </c>
      <c r="U106" s="9"/>
      <c r="V106" s="9"/>
      <c r="W106" s="9"/>
      <c r="X106" s="9"/>
      <c r="Y106" s="9"/>
      <c r="Z106" s="9"/>
      <c r="AA106" s="11"/>
      <c r="AB106" s="11"/>
      <c r="AC106" s="9"/>
      <c r="AD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</row>
    <row r="107" spans="1:49" x14ac:dyDescent="0.3">
      <c r="N107" s="2"/>
      <c r="S107">
        <f t="shared" si="34"/>
        <v>4.1037621609734964</v>
      </c>
      <c r="T107" s="9">
        <f t="shared" si="33"/>
        <v>0.44511636045329117</v>
      </c>
      <c r="U107" s="9"/>
      <c r="V107" s="9"/>
      <c r="W107" s="9"/>
      <c r="X107" s="9"/>
      <c r="Y107" s="9"/>
      <c r="Z107" s="9"/>
      <c r="AA107" s="11"/>
      <c r="AB107" s="11"/>
      <c r="AC107" s="9"/>
      <c r="AD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</row>
    <row r="108" spans="1:49" x14ac:dyDescent="0.3">
      <c r="N108" s="2"/>
      <c r="S108">
        <f t="shared" si="34"/>
        <v>4.209913106433512</v>
      </c>
      <c r="T108" s="9">
        <f t="shared" si="33"/>
        <v>0.38481957880750806</v>
      </c>
      <c r="U108" s="9"/>
      <c r="V108" s="9"/>
      <c r="W108" s="9"/>
      <c r="X108" s="9"/>
      <c r="Y108" s="9"/>
      <c r="Z108" s="9"/>
      <c r="AA108" s="11"/>
      <c r="AB108" s="11"/>
      <c r="AC108" s="9"/>
      <c r="AD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</row>
    <row r="109" spans="1:49" x14ac:dyDescent="0.3">
      <c r="N109" s="2"/>
      <c r="S109">
        <f t="shared" si="34"/>
        <v>4.3484403378982286</v>
      </c>
      <c r="T109" s="9">
        <f t="shared" si="33"/>
        <v>0.34852041102115622</v>
      </c>
      <c r="U109" s="9"/>
      <c r="V109" s="9"/>
      <c r="W109" s="9"/>
      <c r="X109" s="9"/>
      <c r="Y109" s="9"/>
      <c r="Z109" s="9"/>
      <c r="AA109" s="11"/>
      <c r="AB109" s="11"/>
      <c r="AC109" s="9"/>
      <c r="AD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</row>
    <row r="110" spans="1:49" x14ac:dyDescent="0.3">
      <c r="N110" s="2"/>
      <c r="S110">
        <f t="shared" si="34"/>
        <v>4.9286114078357741</v>
      </c>
      <c r="T110" s="9">
        <f t="shared" si="33"/>
        <v>0.29297564792078729</v>
      </c>
      <c r="U110" s="9"/>
      <c r="V110" s="9"/>
      <c r="W110" s="9"/>
      <c r="X110" s="9"/>
      <c r="Y110" s="9"/>
      <c r="Z110" s="9"/>
      <c r="AA110" s="11"/>
      <c r="AB110" s="11"/>
      <c r="AC110" s="9"/>
      <c r="AD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</row>
    <row r="111" spans="1:49" x14ac:dyDescent="0.3">
      <c r="N111" s="2"/>
      <c r="S111">
        <f t="shared" si="34"/>
        <v>5.6737491153748367</v>
      </c>
      <c r="T111" s="9">
        <f t="shared" si="33"/>
        <v>0.26645791569044841</v>
      </c>
      <c r="U111" s="9"/>
      <c r="V111" s="9"/>
      <c r="W111" s="9"/>
      <c r="X111" s="9"/>
      <c r="Y111" s="9"/>
      <c r="Z111" s="9"/>
      <c r="AA111" s="11"/>
      <c r="AB111" s="11"/>
      <c r="AC111" s="9"/>
      <c r="AD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</row>
    <row r="112" spans="1:49" x14ac:dyDescent="0.3">
      <c r="N112" s="2"/>
      <c r="S112">
        <f t="shared" si="34"/>
        <v>5.6849712392754981</v>
      </c>
      <c r="T112" s="9">
        <f t="shared" si="33"/>
        <v>0.2661866277236678</v>
      </c>
      <c r="U112" s="9"/>
      <c r="V112" s="9"/>
      <c r="W112" s="9"/>
      <c r="X112" s="9"/>
      <c r="Y112" s="9"/>
      <c r="Z112" s="9"/>
      <c r="AA112" s="11"/>
      <c r="AB112" s="11"/>
      <c r="AC112" s="9"/>
      <c r="AD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</row>
    <row r="113" spans="14:49" x14ac:dyDescent="0.3">
      <c r="N113" s="2"/>
      <c r="S113">
        <v>5.6849712392754999</v>
      </c>
      <c r="T113" s="9">
        <f>Z38</f>
        <v>0.7845133194037015</v>
      </c>
      <c r="U113" s="9"/>
      <c r="V113" s="9"/>
      <c r="W113" s="9"/>
      <c r="X113" s="9"/>
      <c r="Y113" s="9"/>
      <c r="Z113" s="9"/>
      <c r="AA113" s="11"/>
      <c r="AB113" s="11"/>
      <c r="AC113" s="9"/>
      <c r="AD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</row>
    <row r="114" spans="14:49" x14ac:dyDescent="0.3">
      <c r="N114" s="2"/>
      <c r="S114">
        <f>Z42/Z39+S113</f>
        <v>5.7772880031649221</v>
      </c>
      <c r="T114" s="9">
        <f t="shared" ref="T114:T129" si="35">Z44</f>
        <v>0.78451331935737079</v>
      </c>
      <c r="U114" s="9"/>
      <c r="V114" s="9"/>
      <c r="W114" s="9"/>
      <c r="X114" s="9"/>
      <c r="Y114" s="9"/>
      <c r="Z114" s="9"/>
      <c r="AA114" s="11"/>
      <c r="AB114" s="11"/>
      <c r="AC114" s="9"/>
      <c r="AD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</row>
    <row r="115" spans="14:49" x14ac:dyDescent="0.3">
      <c r="N115" s="2"/>
      <c r="S115">
        <f t="shared" ref="S115:S129" si="36">$S$114+Y45</f>
        <v>5.7772882762031061</v>
      </c>
      <c r="T115" s="9">
        <f t="shared" si="35"/>
        <v>0.7844998671226836</v>
      </c>
      <c r="U115" s="9"/>
      <c r="V115" s="9"/>
      <c r="W115" s="9"/>
      <c r="X115" s="9"/>
      <c r="Y115" s="9"/>
      <c r="Z115" s="9"/>
      <c r="AA115" s="11"/>
      <c r="AB115" s="11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</row>
    <row r="116" spans="14:49" x14ac:dyDescent="0.3">
      <c r="N116" s="2"/>
      <c r="S116">
        <f t="shared" si="36"/>
        <v>5.7774767360453696</v>
      </c>
      <c r="T116" s="9">
        <f t="shared" si="35"/>
        <v>0.77567639969949809</v>
      </c>
      <c r="U116" s="9"/>
      <c r="V116" s="9"/>
      <c r="W116" s="9"/>
      <c r="X116" s="9"/>
      <c r="Y116" s="9"/>
      <c r="Z116" s="9"/>
      <c r="AA116" s="11"/>
      <c r="AB116" s="11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</row>
    <row r="117" spans="14:49" x14ac:dyDescent="0.3">
      <c r="N117" s="2"/>
      <c r="S117">
        <f t="shared" si="36"/>
        <v>5.77853277816632</v>
      </c>
      <c r="T117" s="9">
        <f t="shared" si="35"/>
        <v>0.73784397122994583</v>
      </c>
      <c r="U117" s="9"/>
      <c r="V117" s="9"/>
      <c r="W117" s="9"/>
      <c r="X117" s="9"/>
      <c r="Y117" s="9"/>
      <c r="Z117" s="9"/>
      <c r="AA117" s="11"/>
      <c r="AB117" s="11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</row>
    <row r="118" spans="14:49" x14ac:dyDescent="0.3">
      <c r="N118" s="2"/>
      <c r="S118">
        <f t="shared" si="36"/>
        <v>5.7796899651562059</v>
      </c>
      <c r="T118" s="9">
        <f t="shared" si="35"/>
        <v>0.70888262799450408</v>
      </c>
      <c r="U118" s="9"/>
      <c r="V118" s="9"/>
      <c r="W118" s="9"/>
      <c r="X118" s="9"/>
      <c r="Y118" s="9"/>
      <c r="Z118" s="9"/>
      <c r="AA118" s="11"/>
      <c r="AB118" s="11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</row>
    <row r="119" spans="14:49" x14ac:dyDescent="0.3">
      <c r="N119" s="2"/>
      <c r="S119">
        <f t="shared" si="36"/>
        <v>5.7822632590503051</v>
      </c>
      <c r="T119" s="9">
        <f t="shared" si="35"/>
        <v>0.66518643296506319</v>
      </c>
      <c r="U119" s="9"/>
      <c r="V119" s="9"/>
      <c r="W119" s="9"/>
      <c r="X119" s="9"/>
      <c r="Y119" s="9"/>
      <c r="Z119" s="9"/>
      <c r="AA119" s="11"/>
      <c r="AB119" s="11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</row>
    <row r="120" spans="14:49" x14ac:dyDescent="0.3">
      <c r="N120" s="2"/>
      <c r="S120">
        <f t="shared" si="36"/>
        <v>5.785663428583816</v>
      </c>
      <c r="T120" s="9">
        <f t="shared" si="35"/>
        <v>0.62738570160135554</v>
      </c>
      <c r="U120" s="9"/>
      <c r="V120" s="9"/>
      <c r="W120" s="9"/>
      <c r="X120" s="9"/>
      <c r="Y120" s="9"/>
      <c r="Z120" s="9"/>
      <c r="AA120" s="11"/>
      <c r="AB120" s="11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</row>
    <row r="121" spans="14:49" x14ac:dyDescent="0.3">
      <c r="N121" s="2"/>
      <c r="S121">
        <f t="shared" si="36"/>
        <v>5.7934877412369818</v>
      </c>
      <c r="T121" s="9">
        <f t="shared" si="35"/>
        <v>0.57404601029928004</v>
      </c>
      <c r="U121" s="9"/>
      <c r="V121" s="9"/>
      <c r="W121" s="9"/>
      <c r="X121" s="9"/>
      <c r="Y121" s="9"/>
      <c r="Z121" s="9"/>
      <c r="AA121" s="11"/>
      <c r="AB121" s="11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</row>
    <row r="122" spans="14:49" x14ac:dyDescent="0.3">
      <c r="N122" s="2"/>
      <c r="S122">
        <f t="shared" si="36"/>
        <v>5.8037607261742217</v>
      </c>
      <c r="T122" s="9">
        <f t="shared" si="35"/>
        <v>0.53220974625728135</v>
      </c>
      <c r="U122" s="9"/>
      <c r="V122" s="9"/>
      <c r="W122" s="9"/>
      <c r="X122" s="9"/>
      <c r="Y122" s="9"/>
      <c r="Z122" s="9"/>
      <c r="AA122" s="11"/>
      <c r="AB122" s="11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</row>
    <row r="123" spans="14:49" x14ac:dyDescent="0.3">
      <c r="N123" s="2"/>
      <c r="S123">
        <f t="shared" si="36"/>
        <v>5.8332576347133784</v>
      </c>
      <c r="T123" s="9">
        <f t="shared" si="35"/>
        <v>0.46853394579132407</v>
      </c>
      <c r="U123" s="9"/>
      <c r="V123" s="9"/>
      <c r="W123" s="9"/>
      <c r="X123" s="9"/>
      <c r="Y123" s="9"/>
      <c r="Z123" s="9"/>
      <c r="AA123" s="11"/>
      <c r="AB123" s="11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</row>
    <row r="124" spans="14:49" x14ac:dyDescent="0.3">
      <c r="N124" s="2"/>
      <c r="S124">
        <f t="shared" si="36"/>
        <v>5.8665069868527331</v>
      </c>
      <c r="T124" s="9">
        <f t="shared" si="35"/>
        <v>0.43046379356162107</v>
      </c>
      <c r="U124" s="9"/>
      <c r="V124" s="9"/>
      <c r="W124" s="9"/>
      <c r="X124" s="9"/>
      <c r="Y124" s="9"/>
      <c r="Z124" s="9"/>
      <c r="AA124" s="11"/>
      <c r="AB124" s="11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</row>
    <row r="125" spans="14:49" x14ac:dyDescent="0.3">
      <c r="N125" s="2"/>
      <c r="S125">
        <f t="shared" si="36"/>
        <v>5.9793947811306714</v>
      </c>
      <c r="T125" s="9">
        <f t="shared" si="35"/>
        <v>0.36976688142120989</v>
      </c>
      <c r="U125" s="9"/>
      <c r="V125" s="9"/>
      <c r="W125" s="9"/>
      <c r="X125" s="9"/>
      <c r="Y125" s="9"/>
      <c r="Z125" s="9"/>
      <c r="AA125" s="11"/>
      <c r="AB125" s="11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</row>
    <row r="126" spans="14:49" x14ac:dyDescent="0.3">
      <c r="N126" s="2"/>
      <c r="S126">
        <f t="shared" si="36"/>
        <v>6.1214629891967887</v>
      </c>
      <c r="T126" s="9">
        <f t="shared" si="35"/>
        <v>0.33503916754175711</v>
      </c>
      <c r="U126" s="9"/>
      <c r="V126" s="9"/>
      <c r="W126" s="9"/>
      <c r="X126" s="9"/>
      <c r="Y126" s="9"/>
      <c r="Z126" s="9"/>
      <c r="AA126" s="11"/>
      <c r="AB126" s="11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</row>
    <row r="127" spans="14:49" x14ac:dyDescent="0.3">
      <c r="N127" s="2"/>
      <c r="S127">
        <f t="shared" si="36"/>
        <v>6.7212891301342781</v>
      </c>
      <c r="T127" s="9">
        <f t="shared" si="35"/>
        <v>0.28165691797640796</v>
      </c>
      <c r="U127" s="9"/>
      <c r="V127" s="9"/>
      <c r="W127" s="9"/>
      <c r="X127" s="9"/>
      <c r="Y127" s="9"/>
      <c r="Z127" s="9"/>
      <c r="AA127" s="11"/>
      <c r="AB127" s="11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</row>
    <row r="128" spans="14:49" x14ac:dyDescent="0.3">
      <c r="N128" s="2"/>
      <c r="S128">
        <f t="shared" si="36"/>
        <v>7.4996359033670785</v>
      </c>
      <c r="T128" s="9">
        <f t="shared" si="35"/>
        <v>0.25614814458267282</v>
      </c>
      <c r="U128" s="9"/>
      <c r="V128" s="9"/>
      <c r="W128" s="9"/>
      <c r="X128" s="9"/>
      <c r="Y128" s="9"/>
      <c r="Z128" s="9"/>
      <c r="AA128" s="11"/>
      <c r="AB128" s="11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</row>
    <row r="129" spans="1:49" x14ac:dyDescent="0.3">
      <c r="N129" s="2"/>
      <c r="S129">
        <f t="shared" si="36"/>
        <v>7.5290049144248989</v>
      </c>
      <c r="T129" s="9">
        <f t="shared" si="35"/>
        <v>0.25550405808427779</v>
      </c>
      <c r="U129" s="9"/>
      <c r="V129" s="9"/>
      <c r="W129" s="9"/>
      <c r="X129" s="9"/>
      <c r="Y129" s="9"/>
      <c r="Z129" s="9"/>
      <c r="AA129" s="11"/>
      <c r="AB129" s="11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</row>
    <row r="130" spans="1:49" x14ac:dyDescent="0.3">
      <c r="N130" s="2"/>
      <c r="S130">
        <v>7.5290049144248998</v>
      </c>
      <c r="T130" s="9">
        <f>AB38</f>
        <v>0.77928522852746285</v>
      </c>
      <c r="U130" s="9"/>
      <c r="V130" s="9"/>
      <c r="W130" s="9"/>
      <c r="X130" s="9"/>
      <c r="Y130" s="9"/>
      <c r="Z130" s="9"/>
      <c r="AA130" s="11"/>
      <c r="AB130" s="11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</row>
    <row r="131" spans="1:49" x14ac:dyDescent="0.3">
      <c r="N131" s="2"/>
      <c r="S131">
        <f>AB42/AB39+S130</f>
        <v>7.6099414574064213</v>
      </c>
      <c r="T131" s="9">
        <f>T130</f>
        <v>0.77928522852746285</v>
      </c>
      <c r="U131" s="9"/>
      <c r="V131" s="9"/>
      <c r="W131" s="9"/>
      <c r="X131" s="9"/>
      <c r="Y131" s="9"/>
      <c r="Z131" s="9"/>
      <c r="AA131" s="11"/>
      <c r="AB131" s="11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</row>
    <row r="132" spans="1:49" x14ac:dyDescent="0.3">
      <c r="N132" s="2"/>
      <c r="S132">
        <f t="shared" ref="S132:S146" si="37">$S$131+AA45</f>
        <v>7.6099417228857584</v>
      </c>
      <c r="T132" s="9">
        <f t="shared" ref="T132:T146" si="38">AB45</f>
        <v>0.77927225905183595</v>
      </c>
      <c r="U132" s="9"/>
      <c r="V132" s="9"/>
      <c r="W132" s="9"/>
      <c r="X132" s="9"/>
      <c r="Y132" s="9"/>
      <c r="Z132" s="9"/>
      <c r="AA132" s="11"/>
      <c r="AB132" s="11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</row>
    <row r="133" spans="1:49" x14ac:dyDescent="0.3">
      <c r="N133" s="2"/>
      <c r="S133">
        <f t="shared" si="37"/>
        <v>7.6101399815228792</v>
      </c>
      <c r="T133" s="9">
        <f t="shared" si="38"/>
        <v>0.77008179170729685</v>
      </c>
      <c r="U133" s="9"/>
      <c r="V133" s="9"/>
      <c r="W133" s="9"/>
      <c r="X133" s="9"/>
      <c r="Y133" s="9"/>
      <c r="Z133" s="9"/>
      <c r="AA133" s="11"/>
      <c r="AB133" s="11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</row>
    <row r="134" spans="1:49" x14ac:dyDescent="0.3">
      <c r="N134" s="2"/>
      <c r="S134">
        <f t="shared" si="37"/>
        <v>7.6112275340739162</v>
      </c>
      <c r="T134" s="9">
        <f t="shared" si="38"/>
        <v>0.73160809134534388</v>
      </c>
      <c r="U134" s="9"/>
      <c r="V134" s="9"/>
      <c r="W134" s="9"/>
      <c r="X134" s="9"/>
      <c r="Y134" s="9"/>
      <c r="Z134" s="9"/>
      <c r="AA134" s="11"/>
      <c r="AB134" s="11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</row>
    <row r="135" spans="1:49" x14ac:dyDescent="0.3">
      <c r="N135" s="2"/>
      <c r="S135">
        <f t="shared" si="37"/>
        <v>7.6124372645826437</v>
      </c>
      <c r="T135" s="9">
        <f t="shared" si="38"/>
        <v>0.70184208260966718</v>
      </c>
      <c r="U135" s="9"/>
      <c r="V135" s="9"/>
      <c r="W135" s="9"/>
      <c r="X135" s="9"/>
      <c r="Y135" s="9"/>
      <c r="Z135" s="9"/>
      <c r="AA135" s="11"/>
      <c r="AB135" s="11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</row>
    <row r="136" spans="1:49" x14ac:dyDescent="0.3">
      <c r="N136" s="2"/>
      <c r="S136">
        <f t="shared" si="37"/>
        <v>7.6151444932782431</v>
      </c>
      <c r="T136" s="9">
        <f t="shared" si="38"/>
        <v>0.65700578442576063</v>
      </c>
      <c r="U136" s="9"/>
      <c r="V136" s="9"/>
      <c r="W136" s="9"/>
      <c r="X136" s="9"/>
      <c r="Y136" s="9"/>
      <c r="Z136" s="9"/>
      <c r="AA136" s="11"/>
      <c r="AB136" s="11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</row>
    <row r="137" spans="1:49" x14ac:dyDescent="0.3">
      <c r="N137" s="2"/>
      <c r="S137">
        <f t="shared" si="37"/>
        <v>7.6186958704372829</v>
      </c>
      <c r="T137" s="9">
        <f t="shared" si="38"/>
        <v>0.61875689103544662</v>
      </c>
      <c r="U137" s="9"/>
      <c r="V137" s="9"/>
      <c r="W137" s="9"/>
      <c r="X137" s="9"/>
      <c r="Y137" s="9"/>
      <c r="Z137" s="9"/>
      <c r="AA137" s="11"/>
      <c r="AB137" s="11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</row>
    <row r="138" spans="1:49" x14ac:dyDescent="0.3">
      <c r="N138" s="2"/>
      <c r="S138">
        <f t="shared" si="37"/>
        <v>7.6271210673031318</v>
      </c>
      <c r="T138" s="9">
        <f t="shared" si="38"/>
        <v>0.56380671157002493</v>
      </c>
      <c r="U138" s="9"/>
      <c r="V138" s="9"/>
      <c r="W138" s="9"/>
      <c r="X138" s="9"/>
      <c r="Y138" s="9"/>
      <c r="Z138" s="9"/>
      <c r="AA138" s="11"/>
      <c r="AB138" s="11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</row>
    <row r="139" spans="1:49" x14ac:dyDescent="0.3">
      <c r="N139" s="2"/>
      <c r="S139">
        <f t="shared" si="37"/>
        <v>7.6378212594044124</v>
      </c>
      <c r="T139" s="9">
        <f t="shared" si="38"/>
        <v>0.5224599361753115</v>
      </c>
      <c r="U139" s="9"/>
      <c r="V139" s="9"/>
      <c r="W139" s="9"/>
      <c r="X139" s="9"/>
      <c r="Y139" s="9"/>
      <c r="Z139" s="9"/>
      <c r="AA139" s="11"/>
      <c r="AB139" s="11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</row>
    <row r="140" spans="1:49" x14ac:dyDescent="0.3">
      <c r="N140" s="2"/>
      <c r="S140">
        <f t="shared" si="37"/>
        <v>7.6677626192954005</v>
      </c>
      <c r="T140" s="9">
        <f t="shared" si="38"/>
        <v>0.46062192657416479</v>
      </c>
      <c r="U140" s="9"/>
      <c r="V140" s="9"/>
      <c r="W140" s="9"/>
      <c r="X140" s="9"/>
      <c r="Y140" s="9"/>
      <c r="Z140" s="9"/>
      <c r="AA140" s="11"/>
      <c r="AB140" s="11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</row>
    <row r="141" spans="1:49" x14ac:dyDescent="0.3">
      <c r="N141" s="2"/>
      <c r="S141">
        <f t="shared" si="37"/>
        <v>7.7039625503772422</v>
      </c>
      <c r="T141" s="9">
        <f t="shared" si="38"/>
        <v>0.42129217670186686</v>
      </c>
      <c r="U141" s="9"/>
      <c r="V141" s="9"/>
      <c r="W141" s="9"/>
      <c r="X141" s="9"/>
      <c r="Y141" s="9"/>
      <c r="Z141" s="9"/>
      <c r="AA141" s="11"/>
      <c r="AB141" s="11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</row>
    <row r="142" spans="1:49" x14ac:dyDescent="0.3">
      <c r="N142" s="2"/>
      <c r="S142">
        <f t="shared" si="37"/>
        <v>7.8194851870359301</v>
      </c>
      <c r="T142" s="9">
        <f t="shared" si="38"/>
        <v>0.36263279468424359</v>
      </c>
      <c r="U142" s="9"/>
      <c r="V142" s="9"/>
      <c r="W142" s="9"/>
      <c r="X142" s="9"/>
      <c r="Y142" s="9"/>
      <c r="Z142" s="9"/>
      <c r="AA142" s="11"/>
      <c r="AB142" s="11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</row>
    <row r="143" spans="1:49" x14ac:dyDescent="0.3">
      <c r="N143" s="2"/>
      <c r="S143">
        <f t="shared" si="37"/>
        <v>7.9742940658342487</v>
      </c>
      <c r="T143" s="9">
        <f t="shared" si="38"/>
        <v>0.32727639655650531</v>
      </c>
      <c r="U143" s="9"/>
      <c r="V143" s="9"/>
      <c r="W143" s="9"/>
      <c r="X143" s="9"/>
      <c r="Y143" s="9"/>
      <c r="Z143" s="9"/>
      <c r="AA143" s="11"/>
      <c r="AB143" s="11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</row>
    <row r="144" spans="1:49" x14ac:dyDescent="0.3">
      <c r="A144" s="8" t="s">
        <v>142</v>
      </c>
      <c r="B144" s="8"/>
      <c r="C144" s="8"/>
      <c r="D144" s="8"/>
      <c r="E144" s="8"/>
      <c r="N144" s="2"/>
      <c r="S144">
        <f t="shared" si="37"/>
        <v>8.6419268572413515</v>
      </c>
      <c r="T144" s="9">
        <f t="shared" si="38"/>
        <v>0.27409745812925007</v>
      </c>
      <c r="U144" s="9"/>
      <c r="V144" s="9"/>
      <c r="W144" s="9"/>
      <c r="X144" s="9"/>
      <c r="Y144" s="9"/>
      <c r="Z144" s="9"/>
      <c r="AA144" s="11"/>
      <c r="AB144" s="11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</row>
    <row r="145" spans="1:49" x14ac:dyDescent="0.3">
      <c r="N145" s="2"/>
      <c r="S145">
        <f t="shared" si="37"/>
        <v>9.3805599688447199</v>
      </c>
      <c r="T145" s="9">
        <f t="shared" si="38"/>
        <v>0.25185894503202017</v>
      </c>
      <c r="U145" s="9"/>
      <c r="V145" s="9"/>
      <c r="W145" s="9"/>
      <c r="X145" s="9"/>
      <c r="Y145" s="9"/>
      <c r="Z145" s="9"/>
      <c r="AA145" s="11"/>
      <c r="AB145" s="11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</row>
    <row r="146" spans="1:49" x14ac:dyDescent="0.3">
      <c r="A146" t="s">
        <v>68</v>
      </c>
      <c r="N146" s="2"/>
      <c r="S146">
        <f t="shared" si="37"/>
        <v>9.5172509199420343</v>
      </c>
      <c r="T146" s="9">
        <f t="shared" si="38"/>
        <v>0.24911020956257832</v>
      </c>
      <c r="U146" s="9"/>
      <c r="V146" s="9"/>
      <c r="W146" s="9"/>
      <c r="X146" s="9"/>
      <c r="Y146" s="9"/>
      <c r="Z146" s="9"/>
      <c r="AA146" s="11"/>
      <c r="AB146" s="11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</row>
    <row r="147" spans="1:49" x14ac:dyDescent="0.3">
      <c r="A147" t="s">
        <v>69</v>
      </c>
      <c r="B147" t="s">
        <v>70</v>
      </c>
      <c r="C147" t="s">
        <v>74</v>
      </c>
      <c r="D147" t="s">
        <v>83</v>
      </c>
      <c r="E147" t="s">
        <v>119</v>
      </c>
      <c r="F147" t="s">
        <v>130</v>
      </c>
      <c r="G147" t="s">
        <v>123</v>
      </c>
      <c r="N147" s="2"/>
      <c r="U147" s="9"/>
      <c r="V147" s="9"/>
      <c r="W147" s="9"/>
      <c r="X147" s="9"/>
      <c r="Y147" s="9"/>
      <c r="Z147" s="9"/>
      <c r="AA147" s="11"/>
      <c r="AB147" s="11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11"/>
      <c r="AR147" s="11"/>
      <c r="AS147" s="9"/>
      <c r="AT147" s="9"/>
      <c r="AU147" s="9"/>
      <c r="AV147" s="9"/>
      <c r="AW147" s="9"/>
    </row>
    <row r="148" spans="1:49" x14ac:dyDescent="0.3">
      <c r="A148">
        <v>0</v>
      </c>
      <c r="B148">
        <v>1.17317625575275E-2</v>
      </c>
      <c r="C148">
        <f t="shared" ref="C148:C155" si="39">B148/0.0254</f>
        <v>0.46188041565068899</v>
      </c>
      <c r="D148">
        <f>cal_hltb(C148)</f>
        <v>0.45151169676698727</v>
      </c>
      <c r="E148">
        <f>$G$35-($G$35-$G$52)*$G$31/(D148)</f>
        <v>0.98253278080386508</v>
      </c>
      <c r="F148">
        <f>($G$29-E148*D148)/(1-D148)</f>
        <v>2.0341127062690005</v>
      </c>
      <c r="G148">
        <f t="shared" ref="G148:G155" si="40">0.25*(PI()-ACOS(2*C148-1)+(2*C148-1)*(1-(2*C148-1)^2)^0.5)</f>
        <v>0.35461645739325781</v>
      </c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10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11"/>
      <c r="AR148" s="11"/>
      <c r="AS148" s="9"/>
      <c r="AT148" s="9"/>
      <c r="AU148" s="9"/>
      <c r="AV148" s="9"/>
      <c r="AW148" s="9"/>
    </row>
    <row r="149" spans="1:49" x14ac:dyDescent="0.3">
      <c r="A149">
        <v>1E-3</v>
      </c>
      <c r="B149">
        <v>1.1685680491097384E-2</v>
      </c>
      <c r="C149">
        <f t="shared" si="39"/>
        <v>0.46006616106682613</v>
      </c>
      <c r="D149">
        <f t="shared" ref="D149:D155" si="41">cal_hltb(C149)</f>
        <v>0.44920876470583448</v>
      </c>
      <c r="E149">
        <f t="shared" ref="E149:E155" si="42">$G$35-($G$35-$G$52)*$G$31/(D149)</f>
        <v>0.97626653874773095</v>
      </c>
      <c r="F149">
        <f t="shared" ref="F149:F155" si="43">($G$29-E149*D149)/(1-D149)</f>
        <v>2.0348264680411092</v>
      </c>
      <c r="G149">
        <f t="shared" si="40"/>
        <v>0.35280773878199934</v>
      </c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10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11"/>
      <c r="AR149" s="11"/>
      <c r="AS149" s="9"/>
      <c r="AT149" s="9"/>
      <c r="AU149" s="9"/>
      <c r="AV149" s="9"/>
      <c r="AW149" s="9"/>
    </row>
    <row r="150" spans="1:49" x14ac:dyDescent="0.3">
      <c r="A150">
        <v>3.4797780227392702E-2</v>
      </c>
      <c r="B150">
        <v>1.0554326998690359E-2</v>
      </c>
      <c r="C150">
        <f t="shared" si="39"/>
        <v>0.41552468498780942</v>
      </c>
      <c r="D150">
        <f t="shared" si="41"/>
        <v>0.39295659354296725</v>
      </c>
      <c r="E150">
        <f t="shared" si="42"/>
        <v>0.80039735181486615</v>
      </c>
      <c r="F150">
        <f t="shared" si="43"/>
        <v>2.0505793156560075</v>
      </c>
      <c r="G150">
        <f t="shared" si="40"/>
        <v>0.3086273868635645</v>
      </c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10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11"/>
      <c r="AR150" s="11"/>
      <c r="AS150" s="9"/>
      <c r="AT150" s="9"/>
      <c r="AU150" s="9"/>
      <c r="AV150" s="9"/>
      <c r="AW150" s="9"/>
    </row>
    <row r="151" spans="1:49" x14ac:dyDescent="0.3">
      <c r="A151">
        <v>7.5674741394399891E-2</v>
      </c>
      <c r="B151">
        <v>9.7420054468199142E-3</v>
      </c>
      <c r="C151">
        <f t="shared" si="39"/>
        <v>0.38354352152834309</v>
      </c>
      <c r="D151">
        <f t="shared" si="41"/>
        <v>0.35307476530102527</v>
      </c>
      <c r="E151">
        <f t="shared" si="42"/>
        <v>0.6417594097585515</v>
      </c>
      <c r="F151">
        <f t="shared" si="43"/>
        <v>2.0600881606914734</v>
      </c>
      <c r="G151">
        <f t="shared" si="40"/>
        <v>0.27730427220941084</v>
      </c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10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11"/>
      <c r="AR151" s="11"/>
      <c r="AS151" s="9"/>
      <c r="AT151" s="9"/>
      <c r="AU151" s="9"/>
      <c r="AV151" s="9"/>
      <c r="AW151" s="9"/>
    </row>
    <row r="152" spans="1:49" x14ac:dyDescent="0.3">
      <c r="A152">
        <v>0.17603402264223961</v>
      </c>
      <c r="B152">
        <v>8.6319163792677595E-3</v>
      </c>
      <c r="C152">
        <f t="shared" si="39"/>
        <v>0.33983922753022677</v>
      </c>
      <c r="D152">
        <f t="shared" si="41"/>
        <v>0.29961999850574533</v>
      </c>
      <c r="E152">
        <f t="shared" si="42"/>
        <v>0.36289555231399784</v>
      </c>
      <c r="F152">
        <f t="shared" si="43"/>
        <v>2.0711346724624788</v>
      </c>
      <c r="G152">
        <f t="shared" si="40"/>
        <v>0.23532099654355912</v>
      </c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10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11"/>
      <c r="AR152" s="11"/>
      <c r="AS152" s="9"/>
      <c r="AT152" s="9"/>
      <c r="AU152" s="9"/>
      <c r="AV152" s="9"/>
      <c r="AW152" s="9"/>
    </row>
    <row r="153" spans="1:49" x14ac:dyDescent="0.3">
      <c r="A153">
        <v>0.2929321975908204</v>
      </c>
      <c r="B153">
        <v>7.9145803112521378E-3</v>
      </c>
      <c r="C153">
        <f t="shared" si="39"/>
        <v>0.31159765004929679</v>
      </c>
      <c r="D153">
        <f t="shared" si="41"/>
        <v>0.26592262496254043</v>
      </c>
      <c r="E153">
        <f t="shared" si="42"/>
        <v>0.1294888979423674</v>
      </c>
      <c r="F153">
        <f t="shared" si="43"/>
        <v>2.0772715439077261</v>
      </c>
      <c r="G153">
        <f t="shared" si="40"/>
        <v>0.20885514125140828</v>
      </c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10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11"/>
      <c r="AR153" s="11"/>
      <c r="AS153" s="9"/>
      <c r="AT153" s="9"/>
      <c r="AU153" s="9"/>
      <c r="AV153" s="9"/>
      <c r="AW153" s="9"/>
    </row>
    <row r="154" spans="1:49" x14ac:dyDescent="0.3">
      <c r="A154">
        <v>0.61909966883762779</v>
      </c>
      <c r="B154">
        <v>6.8972715444659809E-3</v>
      </c>
      <c r="C154">
        <f t="shared" si="39"/>
        <v>0.2715461237978733</v>
      </c>
      <c r="D154">
        <f t="shared" si="41"/>
        <v>0.21958757015403765</v>
      </c>
      <c r="E154">
        <f t="shared" si="42"/>
        <v>-0.30842618819363077</v>
      </c>
      <c r="F154">
        <f t="shared" si="43"/>
        <v>2.0848445832604066</v>
      </c>
      <c r="G154">
        <f t="shared" si="40"/>
        <v>0.17246367430389009</v>
      </c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10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11"/>
      <c r="AR154" s="11"/>
      <c r="AS154" s="9"/>
      <c r="AT154" s="9"/>
      <c r="AU154" s="9"/>
      <c r="AV154" s="9"/>
      <c r="AW154" s="9"/>
    </row>
    <row r="155" spans="1:49" x14ac:dyDescent="0.3">
      <c r="A155">
        <v>0.92638985532428642</v>
      </c>
      <c r="B155">
        <v>6.3861536991637454E-3</v>
      </c>
      <c r="C155">
        <f t="shared" si="39"/>
        <v>0.25142337398282466</v>
      </c>
      <c r="D155">
        <f t="shared" si="41"/>
        <v>0.19707208944438451</v>
      </c>
      <c r="E155">
        <f t="shared" si="42"/>
        <v>-0.59556481384932702</v>
      </c>
      <c r="F155">
        <f t="shared" si="43"/>
        <v>2.0882089787372529</v>
      </c>
      <c r="G155">
        <f t="shared" si="40"/>
        <v>0.15478005710651788</v>
      </c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10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11"/>
      <c r="AR155" s="11"/>
      <c r="AS155" s="9"/>
      <c r="AT155" s="9"/>
      <c r="AU155" s="9"/>
      <c r="AV155" s="9"/>
      <c r="AW155" s="9"/>
    </row>
    <row r="156" spans="1:49" x14ac:dyDescent="0.3"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10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</row>
    <row r="157" spans="1:49" x14ac:dyDescent="0.3">
      <c r="N157" s="2"/>
      <c r="T157" s="9"/>
      <c r="U157" s="9"/>
      <c r="V157" s="9"/>
      <c r="W157" s="9"/>
      <c r="X157" s="9"/>
      <c r="Y157" s="9"/>
      <c r="Z157" s="9"/>
      <c r="AA157" s="9"/>
      <c r="AB157" s="9"/>
      <c r="AC157" s="11"/>
      <c r="AD157" s="11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</row>
    <row r="158" spans="1:49" x14ac:dyDescent="0.3">
      <c r="N158" s="2"/>
      <c r="T158" s="9"/>
      <c r="U158" s="9"/>
      <c r="V158" s="9"/>
      <c r="W158" s="9"/>
      <c r="X158" s="9"/>
      <c r="Y158" s="9"/>
      <c r="Z158" s="9"/>
      <c r="AA158" s="11"/>
      <c r="AB158" s="11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</row>
    <row r="159" spans="1:49" x14ac:dyDescent="0.3">
      <c r="N159" s="2"/>
      <c r="T159" s="9"/>
      <c r="U159" s="9"/>
      <c r="V159" s="9"/>
      <c r="W159" s="9"/>
      <c r="X159" s="9"/>
      <c r="Y159" s="9"/>
      <c r="Z159" s="9"/>
      <c r="AA159" s="11"/>
      <c r="AB159" s="11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</row>
    <row r="160" spans="1:49" x14ac:dyDescent="0.3">
      <c r="N160" s="2"/>
      <c r="T160" s="9"/>
      <c r="U160" s="9"/>
      <c r="V160" s="9"/>
      <c r="W160" s="9"/>
      <c r="X160" s="9"/>
      <c r="Y160" s="9"/>
      <c r="Z160" s="9"/>
      <c r="AA160" s="11"/>
      <c r="AB160" s="11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</row>
    <row r="161" spans="14:49" x14ac:dyDescent="0.3">
      <c r="N161" s="2"/>
      <c r="T161" s="9"/>
      <c r="U161" s="9"/>
      <c r="V161" s="9"/>
      <c r="W161" s="9"/>
      <c r="X161" s="9"/>
      <c r="Y161" s="9"/>
      <c r="Z161" s="9"/>
      <c r="AA161" s="11"/>
      <c r="AB161" s="11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</row>
    <row r="162" spans="14:49" x14ac:dyDescent="0.3">
      <c r="N162" s="2"/>
      <c r="T162" s="9"/>
      <c r="U162" s="9"/>
      <c r="V162" s="9"/>
      <c r="W162" s="9"/>
      <c r="X162" s="9"/>
      <c r="Y162" s="9"/>
      <c r="Z162" s="9"/>
      <c r="AA162" s="11"/>
      <c r="AB162" s="11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</row>
    <row r="163" spans="14:49" x14ac:dyDescent="0.3">
      <c r="N163" s="2"/>
      <c r="T163" s="9"/>
      <c r="U163" s="9"/>
      <c r="V163" s="9"/>
      <c r="W163" s="9"/>
      <c r="X163" s="9"/>
      <c r="Y163" s="9"/>
      <c r="Z163" s="9"/>
      <c r="AA163" s="11"/>
      <c r="AB163" s="11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</row>
    <row r="164" spans="14:49" x14ac:dyDescent="0.3">
      <c r="N164" s="2"/>
      <c r="T164" s="9"/>
      <c r="U164" s="9"/>
      <c r="V164" s="9"/>
      <c r="W164" s="9"/>
      <c r="X164" s="9"/>
      <c r="Y164" s="9"/>
      <c r="Z164" s="9"/>
      <c r="AA164" s="11"/>
      <c r="AB164" s="11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</row>
    <row r="165" spans="14:49" x14ac:dyDescent="0.3">
      <c r="N165" s="2"/>
      <c r="T165" s="9"/>
      <c r="U165" s="9"/>
      <c r="V165" s="9"/>
      <c r="W165" s="9"/>
      <c r="X165" s="9"/>
      <c r="Y165" s="9"/>
      <c r="Z165" s="9"/>
      <c r="AA165" s="11"/>
      <c r="AB165" s="11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</row>
    <row r="166" spans="14:49" x14ac:dyDescent="0.3">
      <c r="N166" s="2"/>
      <c r="T166" s="9"/>
      <c r="U166" s="9"/>
      <c r="V166" s="9"/>
      <c r="W166" s="9"/>
      <c r="X166" s="9"/>
      <c r="Y166" s="9"/>
      <c r="Z166" s="9"/>
      <c r="AA166" s="11"/>
      <c r="AB166" s="11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</row>
    <row r="167" spans="14:49" x14ac:dyDescent="0.3">
      <c r="N167" s="2"/>
      <c r="T167" s="9"/>
      <c r="U167" s="9"/>
      <c r="V167" s="9"/>
      <c r="W167" s="9"/>
      <c r="X167" s="9"/>
      <c r="Y167" s="9"/>
      <c r="Z167" s="9"/>
      <c r="AA167" s="11"/>
      <c r="AB167" s="11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</row>
    <row r="168" spans="14:49" x14ac:dyDescent="0.3">
      <c r="N168" s="2"/>
      <c r="T168" s="9"/>
      <c r="U168" s="9"/>
      <c r="V168" s="9"/>
      <c r="W168" s="9"/>
      <c r="X168" s="9"/>
      <c r="Y168" s="9"/>
      <c r="Z168" s="9"/>
      <c r="AA168" s="11"/>
      <c r="AB168" s="11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</row>
    <row r="169" spans="14:49" x14ac:dyDescent="0.3">
      <c r="N169" s="2"/>
      <c r="T169" s="9"/>
      <c r="U169" s="9"/>
      <c r="V169" s="9"/>
      <c r="W169" s="9"/>
      <c r="X169" s="9"/>
      <c r="Y169" s="9"/>
      <c r="Z169" s="9"/>
      <c r="AA169" s="11"/>
      <c r="AB169" s="11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</row>
    <row r="170" spans="14:49" x14ac:dyDescent="0.3">
      <c r="N170" s="2"/>
      <c r="T170" s="9"/>
      <c r="U170" s="9"/>
      <c r="V170" s="9"/>
      <c r="W170" s="9"/>
      <c r="X170" s="9"/>
      <c r="Y170" s="9"/>
      <c r="Z170" s="9"/>
      <c r="AA170" s="11"/>
      <c r="AB170" s="11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</row>
    <row r="171" spans="14:49" x14ac:dyDescent="0.3">
      <c r="N171" s="2"/>
      <c r="T171" s="9"/>
      <c r="U171" s="9"/>
      <c r="V171" s="9"/>
      <c r="W171" s="9"/>
      <c r="X171" s="9"/>
      <c r="Y171" s="9"/>
      <c r="Z171" s="9"/>
      <c r="AA171" s="11"/>
      <c r="AB171" s="11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</row>
    <row r="172" spans="14:49" x14ac:dyDescent="0.3">
      <c r="N172" s="2"/>
      <c r="T172" s="9"/>
      <c r="U172" s="9"/>
      <c r="V172" s="9"/>
      <c r="W172" s="9"/>
      <c r="X172" s="9"/>
      <c r="Y172" s="9"/>
      <c r="Z172" s="9"/>
      <c r="AA172" s="11"/>
      <c r="AB172" s="11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</row>
    <row r="173" spans="14:49" x14ac:dyDescent="0.3">
      <c r="N173" s="2"/>
      <c r="T173" s="9"/>
      <c r="AA173" s="3"/>
      <c r="AB173" s="3"/>
      <c r="AE173" s="9"/>
      <c r="AF173" s="9"/>
    </row>
    <row r="174" spans="14:49" x14ac:dyDescent="0.3">
      <c r="N174" s="2"/>
      <c r="T174" s="9"/>
      <c r="AA174" s="3"/>
      <c r="AB174" s="3"/>
    </row>
    <row r="175" spans="14:49" x14ac:dyDescent="0.3">
      <c r="N175" s="2"/>
      <c r="AA175" s="3"/>
      <c r="AB175" s="3"/>
    </row>
    <row r="176" spans="14:49" x14ac:dyDescent="0.3">
      <c r="N176" s="2"/>
      <c r="AA176" s="3"/>
      <c r="AB176" s="3"/>
    </row>
    <row r="177" spans="14:28" x14ac:dyDescent="0.3">
      <c r="N177" s="2"/>
      <c r="AA177" s="3"/>
      <c r="AB177" s="3"/>
    </row>
    <row r="178" spans="14:28" x14ac:dyDescent="0.3">
      <c r="N178" s="2"/>
      <c r="AA178" s="3"/>
      <c r="AB178" s="3"/>
    </row>
    <row r="179" spans="14:28" x14ac:dyDescent="0.3">
      <c r="N179" s="2"/>
      <c r="AA179" s="3"/>
      <c r="AB179" s="3"/>
    </row>
    <row r="180" spans="14:28" x14ac:dyDescent="0.3">
      <c r="N180" s="2"/>
      <c r="AA180" s="3"/>
      <c r="AB180" s="3"/>
    </row>
    <row r="181" spans="14:28" x14ac:dyDescent="0.3">
      <c r="N181" s="2"/>
      <c r="AA181" s="3"/>
      <c r="AB181" s="3"/>
    </row>
    <row r="182" spans="14:28" x14ac:dyDescent="0.3">
      <c r="N182" s="2"/>
      <c r="AA182" s="3"/>
      <c r="AB182" s="3"/>
    </row>
    <row r="183" spans="14:28" x14ac:dyDescent="0.3">
      <c r="N183" s="2"/>
      <c r="AA183" s="3"/>
      <c r="AB183" s="3"/>
    </row>
    <row r="184" spans="14:28" x14ac:dyDescent="0.3">
      <c r="N184" s="2"/>
      <c r="AA184" s="3"/>
      <c r="AB184" s="3"/>
    </row>
    <row r="185" spans="14:28" x14ac:dyDescent="0.3">
      <c r="N185" s="2"/>
      <c r="AA185" s="3"/>
      <c r="AB185" s="3"/>
    </row>
    <row r="186" spans="14:28" x14ac:dyDescent="0.3">
      <c r="N186" s="2"/>
      <c r="AA186" s="3"/>
      <c r="AB186" s="3"/>
    </row>
    <row r="187" spans="14:28" x14ac:dyDescent="0.3">
      <c r="N187" s="2"/>
      <c r="AA187" s="3"/>
      <c r="AB187" s="3"/>
    </row>
    <row r="188" spans="14:28" x14ac:dyDescent="0.3">
      <c r="N188" s="2"/>
      <c r="AA188" s="3"/>
      <c r="AB188" s="3"/>
    </row>
    <row r="189" spans="14:28" x14ac:dyDescent="0.3">
      <c r="N189" s="2"/>
      <c r="AA189" s="3"/>
      <c r="AB189" s="3"/>
    </row>
    <row r="190" spans="14:28" x14ac:dyDescent="0.3">
      <c r="N190" s="2"/>
      <c r="AA190" s="3"/>
      <c r="AB190" s="3"/>
    </row>
    <row r="191" spans="14:28" x14ac:dyDescent="0.3">
      <c r="N191" s="2"/>
      <c r="AA191" s="3"/>
      <c r="AB191" s="3"/>
    </row>
    <row r="192" spans="14:28" x14ac:dyDescent="0.3">
      <c r="N192" s="2"/>
      <c r="AA192" s="3"/>
      <c r="AB192" s="3"/>
    </row>
    <row r="193" spans="14:28" x14ac:dyDescent="0.3">
      <c r="N193" s="2"/>
      <c r="AA193" s="3"/>
      <c r="AB193" s="3"/>
    </row>
    <row r="194" spans="14:28" x14ac:dyDescent="0.3">
      <c r="N194" s="2"/>
      <c r="AA194" s="3"/>
      <c r="AB194" s="3"/>
    </row>
    <row r="195" spans="14:28" x14ac:dyDescent="0.3">
      <c r="N195" s="2"/>
      <c r="AA195" s="3"/>
      <c r="AB195" s="3"/>
    </row>
    <row r="196" spans="14:28" x14ac:dyDescent="0.3">
      <c r="N196" s="2"/>
      <c r="AA196" s="3"/>
      <c r="AB196" s="3"/>
    </row>
    <row r="197" spans="14:28" x14ac:dyDescent="0.3">
      <c r="N197" s="2"/>
      <c r="AA197" s="3"/>
      <c r="AB197" s="3"/>
    </row>
    <row r="198" spans="14:28" x14ac:dyDescent="0.3">
      <c r="N198" s="2"/>
      <c r="AA198" s="3"/>
      <c r="AB198" s="3"/>
    </row>
    <row r="199" spans="14:28" x14ac:dyDescent="0.3">
      <c r="N199" s="2"/>
      <c r="AA199" s="3"/>
      <c r="AB199" s="3"/>
    </row>
    <row r="200" spans="14:28" x14ac:dyDescent="0.3">
      <c r="N200" s="2"/>
      <c r="AA200" s="3"/>
      <c r="AB200" s="3"/>
    </row>
    <row r="201" spans="14:28" x14ac:dyDescent="0.3">
      <c r="N201" s="2"/>
      <c r="AA201" s="3"/>
      <c r="AB201" s="3"/>
    </row>
    <row r="202" spans="14:28" x14ac:dyDescent="0.3">
      <c r="N202" s="2"/>
      <c r="AA202" s="3"/>
      <c r="AB202" s="3"/>
    </row>
    <row r="203" spans="14:28" x14ac:dyDescent="0.3">
      <c r="N203" s="2"/>
      <c r="AA203" s="3"/>
      <c r="AB203" s="3"/>
    </row>
    <row r="204" spans="14:28" x14ac:dyDescent="0.3">
      <c r="N204" s="2"/>
      <c r="AA204" s="3"/>
      <c r="AB204" s="3"/>
    </row>
    <row r="205" spans="14:28" x14ac:dyDescent="0.3">
      <c r="N205" s="2"/>
      <c r="AA205" s="3"/>
      <c r="AB205" s="3"/>
    </row>
    <row r="206" spans="14:28" x14ac:dyDescent="0.3">
      <c r="N206" s="2"/>
      <c r="AA206" s="3"/>
      <c r="AB206" s="3"/>
    </row>
    <row r="207" spans="14:28" x14ac:dyDescent="0.3">
      <c r="N207" s="2"/>
      <c r="AA207" s="3"/>
      <c r="AB207" s="3"/>
    </row>
    <row r="208" spans="14:28" x14ac:dyDescent="0.3">
      <c r="N208" s="2"/>
      <c r="AA208" s="3"/>
      <c r="AB208" s="3"/>
    </row>
    <row r="209" spans="14:28" x14ac:dyDescent="0.3">
      <c r="N209" s="2"/>
      <c r="AA209" s="3"/>
      <c r="AB209" s="3"/>
    </row>
    <row r="210" spans="14:28" x14ac:dyDescent="0.3">
      <c r="N210" s="2"/>
      <c r="AA210" s="3"/>
      <c r="AB210" s="3"/>
    </row>
    <row r="211" spans="14:28" x14ac:dyDescent="0.3">
      <c r="N211" s="2"/>
      <c r="AA211" s="3"/>
      <c r="AB211" s="3"/>
    </row>
    <row r="212" spans="14:28" x14ac:dyDescent="0.3">
      <c r="N212" s="2"/>
      <c r="AA212" s="3"/>
      <c r="AB212" s="3"/>
    </row>
    <row r="213" spans="14:28" x14ac:dyDescent="0.3">
      <c r="N213" s="2"/>
      <c r="AA213" s="3"/>
      <c r="AB213" s="3"/>
    </row>
    <row r="214" spans="14:28" x14ac:dyDescent="0.3">
      <c r="N214" s="2"/>
      <c r="AA214" s="3"/>
      <c r="AB214" s="3"/>
    </row>
    <row r="215" spans="14:28" x14ac:dyDescent="0.3">
      <c r="N215" s="2"/>
      <c r="AA215" s="3"/>
      <c r="AB215" s="3"/>
    </row>
    <row r="216" spans="14:28" x14ac:dyDescent="0.3">
      <c r="N216" s="2"/>
      <c r="AA216" s="3"/>
      <c r="AB216" s="3"/>
    </row>
    <row r="217" spans="14:28" x14ac:dyDescent="0.3">
      <c r="N217" s="2"/>
      <c r="AA217" s="3"/>
      <c r="AB217" s="3"/>
    </row>
    <row r="218" spans="14:28" x14ac:dyDescent="0.3">
      <c r="N218" s="2"/>
      <c r="AA218" s="3"/>
      <c r="AB218" s="3"/>
    </row>
    <row r="219" spans="14:28" x14ac:dyDescent="0.3">
      <c r="N219" s="2"/>
      <c r="AA219" s="3"/>
      <c r="AB219" s="3"/>
    </row>
    <row r="220" spans="14:28" x14ac:dyDescent="0.3">
      <c r="AA220" s="3"/>
      <c r="AB220" s="3"/>
    </row>
    <row r="221" spans="14:28" x14ac:dyDescent="0.3">
      <c r="AA221" s="3"/>
      <c r="AB221" s="3"/>
    </row>
  </sheetData>
  <hyperlinks>
    <hyperlink ref="F54" r:id="rId1"/>
    <hyperlink ref="F55" r:id="rId2"/>
    <hyperlink ref="F56" r:id="rId3"/>
    <hyperlink ref="F58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AX270"/>
  <sheetViews>
    <sheetView topLeftCell="A19" zoomScaleNormal="100" workbookViewId="0">
      <selection activeCell="G47" sqref="G47"/>
    </sheetView>
  </sheetViews>
  <sheetFormatPr defaultRowHeight="14.4" x14ac:dyDescent="0.3"/>
  <cols>
    <col min="5" max="5" width="20.33203125" customWidth="1"/>
    <col min="6" max="6" width="15.88671875" customWidth="1"/>
    <col min="7" max="7" width="13.33203125" customWidth="1"/>
    <col min="12" max="12" width="12.6640625" bestFit="1" customWidth="1"/>
    <col min="13" max="13" width="12" bestFit="1" customWidth="1"/>
    <col min="15" max="15" width="12" bestFit="1" customWidth="1"/>
    <col min="16" max="16" width="12.6640625" bestFit="1" customWidth="1"/>
    <col min="28" max="28" width="13" bestFit="1" customWidth="1"/>
    <col min="30" max="30" width="11.109375" bestFit="1" customWidth="1"/>
  </cols>
  <sheetData>
    <row r="1" spans="3:26" ht="317.25" customHeight="1" x14ac:dyDescent="0.3">
      <c r="G1">
        <f>COLUMN()</f>
        <v>7</v>
      </c>
    </row>
    <row r="4" spans="3:26" x14ac:dyDescent="0.3">
      <c r="Z4">
        <f>cal_hE(Y7, $G$36, $G$14,$G$15, $G$6,$G$10, $G$9, $G$7,$G$35,$G$29, $G$31 )</f>
        <v>0.27068167150337696</v>
      </c>
    </row>
    <row r="5" spans="3:26" x14ac:dyDescent="0.3">
      <c r="C5">
        <v>1</v>
      </c>
      <c r="D5">
        <v>3</v>
      </c>
      <c r="F5" t="s">
        <v>63</v>
      </c>
      <c r="G5">
        <v>3.6499999999999998E-2</v>
      </c>
      <c r="H5" t="s">
        <v>64</v>
      </c>
    </row>
    <row r="6" spans="3:26" x14ac:dyDescent="0.3">
      <c r="F6" t="s">
        <v>40</v>
      </c>
      <c r="G6">
        <v>9.8000000000000007</v>
      </c>
      <c r="H6" t="s">
        <v>41</v>
      </c>
      <c r="N6" t="s">
        <v>48</v>
      </c>
      <c r="O6" t="s">
        <v>49</v>
      </c>
      <c r="Q6" t="s">
        <v>48</v>
      </c>
      <c r="R6" t="s">
        <v>49</v>
      </c>
    </row>
    <row r="7" spans="3:26" x14ac:dyDescent="0.3">
      <c r="F7" t="s">
        <v>32</v>
      </c>
      <c r="G7">
        <f>G8/180*PI()</f>
        <v>0</v>
      </c>
      <c r="H7" t="s">
        <v>39</v>
      </c>
      <c r="N7">
        <v>1E-4</v>
      </c>
      <c r="O7">
        <f>f_h_c(N7,$G$36,$G$14,$G$6,$G$10,$G$9,$G$7)</f>
        <v>332526845216.63483</v>
      </c>
      <c r="P7" s="2" t="e">
        <f>Cal_hC_TTBN(N7*$G$9)</f>
        <v>#VALUE!</v>
      </c>
      <c r="Q7">
        <v>1</v>
      </c>
      <c r="R7">
        <f>f_h_c(Q7,$G$36,$G$14,$G$6,$G$10,$G$9,$G$7)</f>
        <v>-11.172899914099824</v>
      </c>
      <c r="V7">
        <v>0.8</v>
      </c>
      <c r="W7" s="2">
        <f>f_h_e(V7, $G$36, $G$14,$G$15, $G$6,$G$10, $G$9, $G$7,$G$35,$G$29, $G$31 )</f>
        <v>-5.5289999067384237</v>
      </c>
      <c r="Y7">
        <v>0.17</v>
      </c>
      <c r="Z7" s="2">
        <f>f_h_e(Y7, $G$36, $G$14,$G$15, $G$6,$G$10, $G$9, $G$7,$G$35,$G$29, $G$31 )</f>
        <v>3.9319319304902138</v>
      </c>
    </row>
    <row r="8" spans="3:26" x14ac:dyDescent="0.3">
      <c r="F8" t="s">
        <v>32</v>
      </c>
      <c r="G8">
        <v>0</v>
      </c>
      <c r="H8" t="s">
        <v>31</v>
      </c>
      <c r="N8">
        <f>0.05+N7</f>
        <v>5.0100000000000006E-2</v>
      </c>
      <c r="O8">
        <f>f_h_c(N8,$G$36,$G$14,$G$6,$G$10,$G$9,$G$7)</f>
        <v>59475.817309159989</v>
      </c>
      <c r="P8" s="2"/>
      <c r="Q8">
        <f>Q7-0.0005</f>
        <v>0.99950000000000006</v>
      </c>
      <c r="R8">
        <f t="shared" ref="R8:R33" si="0">f_h_c(Q8,$G$36,$G$14,$G$6,$G$10,$G$9,$G$7)</f>
        <v>-9.0302266863541298</v>
      </c>
      <c r="V8">
        <f>V7-0.05</f>
        <v>0.75</v>
      </c>
      <c r="W8" s="2">
        <f t="shared" ref="W8:W22" si="1">f_h_e(V8, $G$36, $G$14,$G$15, $G$6,$G$10, $G$9, $G$7,$G$35,$G$29, $G$31 )</f>
        <v>-5.0271999519105908</v>
      </c>
      <c r="Y8">
        <f>Y7-0.001</f>
        <v>0.16900000000000001</v>
      </c>
      <c r="Z8" s="2">
        <f t="shared" ref="Z8:Z47" si="2">f_h_e(Y8, $G$36, $G$14,$G$15, $G$6,$G$10, $G$9, $G$7,$G$35,$G$29, $G$31 )</f>
        <v>4.0102591015630606</v>
      </c>
    </row>
    <row r="9" spans="3:26" x14ac:dyDescent="0.3">
      <c r="F9" t="s">
        <v>0</v>
      </c>
      <c r="G9">
        <f>1.5*0.0254</f>
        <v>3.8099999999999995E-2</v>
      </c>
      <c r="H9" t="s">
        <v>1</v>
      </c>
      <c r="N9">
        <f t="shared" ref="N9:N25" si="3">0.05+N8</f>
        <v>0.10010000000000001</v>
      </c>
      <c r="O9">
        <f t="shared" ref="O9:O27" si="4">f_h_c(N9,$G$36,$G$14,$G$6,$G$10,$G$9,$G$7)</f>
        <v>10587.522982172339</v>
      </c>
      <c r="P9" s="2"/>
      <c r="Q9">
        <f t="shared" ref="Q9:Q33" si="5">Q8-0.0005</f>
        <v>0.99900000000000011</v>
      </c>
      <c r="R9">
        <f t="shared" si="0"/>
        <v>-8.1429503710120503</v>
      </c>
      <c r="V9">
        <f t="shared" ref="V9:V22" si="6">V8-0.05</f>
        <v>0.7</v>
      </c>
      <c r="W9" s="2">
        <f t="shared" si="1"/>
        <v>-4.5346060026969237</v>
      </c>
      <c r="Y9">
        <f t="shared" ref="Y9:Y47" si="7">Y8-0.001</f>
        <v>0.16800000000000001</v>
      </c>
      <c r="Z9" s="2">
        <f t="shared" si="2"/>
        <v>4.0900240093957834</v>
      </c>
    </row>
    <row r="10" spans="3:26" x14ac:dyDescent="0.3">
      <c r="F10" t="s">
        <v>2</v>
      </c>
      <c r="G10">
        <f>PI()*G9^2/4</f>
        <v>1.1400918279693697E-3</v>
      </c>
      <c r="H10" t="s">
        <v>3</v>
      </c>
      <c r="I10">
        <f>G10*100*100</f>
        <v>11.400918279693698</v>
      </c>
      <c r="N10">
        <f t="shared" si="3"/>
        <v>0.15010000000000001</v>
      </c>
      <c r="O10">
        <f t="shared" si="4"/>
        <v>3860.3334951004681</v>
      </c>
      <c r="P10" s="2"/>
      <c r="Q10">
        <f t="shared" si="5"/>
        <v>0.99850000000000017</v>
      </c>
      <c r="R10">
        <f t="shared" si="0"/>
        <v>-7.4622130883591966</v>
      </c>
      <c r="V10">
        <f t="shared" si="6"/>
        <v>0.64999999999999991</v>
      </c>
      <c r="W10" s="2">
        <f t="shared" si="1"/>
        <v>-4.040114912774178</v>
      </c>
      <c r="Y10">
        <f t="shared" si="7"/>
        <v>0.16700000000000001</v>
      </c>
      <c r="Z10" s="2">
        <f t="shared" si="2"/>
        <v>4.1712616138537948</v>
      </c>
    </row>
    <row r="11" spans="3:26" x14ac:dyDescent="0.3">
      <c r="F11" t="s">
        <v>4</v>
      </c>
      <c r="G11">
        <v>1</v>
      </c>
      <c r="H11" t="s">
        <v>5</v>
      </c>
      <c r="N11">
        <f t="shared" si="3"/>
        <v>0.2001</v>
      </c>
      <c r="O11">
        <f t="shared" si="4"/>
        <v>1887.0580362813034</v>
      </c>
      <c r="P11" s="2"/>
      <c r="Q11">
        <f t="shared" si="5"/>
        <v>0.99800000000000022</v>
      </c>
      <c r="R11">
        <f t="shared" si="0"/>
        <v>-6.8883612807436796</v>
      </c>
      <c r="V11">
        <f t="shared" si="6"/>
        <v>0.59999999999999987</v>
      </c>
      <c r="W11" s="2">
        <f t="shared" si="1"/>
        <v>-3.5347693182069202</v>
      </c>
      <c r="Y11">
        <f t="shared" si="7"/>
        <v>0.16600000000000001</v>
      </c>
      <c r="Z11" s="2">
        <f t="shared" si="2"/>
        <v>4.2540079354805558</v>
      </c>
    </row>
    <row r="12" spans="3:26" x14ac:dyDescent="0.3">
      <c r="F12" t="s">
        <v>6</v>
      </c>
      <c r="G12">
        <f>G11*G10</f>
        <v>1.1400918279693697E-3</v>
      </c>
      <c r="H12" t="s">
        <v>7</v>
      </c>
      <c r="N12">
        <f t="shared" si="3"/>
        <v>0.25009999999999999</v>
      </c>
      <c r="O12">
        <f t="shared" si="4"/>
        <v>1082.4662913065906</v>
      </c>
      <c r="P12" s="2"/>
      <c r="Q12">
        <f t="shared" si="5"/>
        <v>0.99750000000000028</v>
      </c>
      <c r="R12">
        <f t="shared" si="0"/>
        <v>-6.3827887522034734</v>
      </c>
      <c r="V12">
        <f t="shared" si="6"/>
        <v>0.54999999999999982</v>
      </c>
      <c r="W12" s="2">
        <f t="shared" si="1"/>
        <v>-3.0107745988397303</v>
      </c>
      <c r="Y12">
        <f t="shared" si="7"/>
        <v>0.16500000000000001</v>
      </c>
      <c r="Z12" s="2">
        <f t="shared" si="2"/>
        <v>4.3383000942590728</v>
      </c>
    </row>
    <row r="13" spans="3:26" x14ac:dyDescent="0.3">
      <c r="F13" t="s">
        <v>6</v>
      </c>
      <c r="G13">
        <f>G12*1000*60/3.78541</f>
        <v>18.070832400760334</v>
      </c>
      <c r="H13" t="s">
        <v>8</v>
      </c>
      <c r="N13">
        <f t="shared" si="3"/>
        <v>0.30009999999999998</v>
      </c>
      <c r="O13">
        <f t="shared" si="4"/>
        <v>686.43563535922124</v>
      </c>
      <c r="P13" s="2"/>
      <c r="Q13">
        <f t="shared" si="5"/>
        <v>0.99700000000000033</v>
      </c>
      <c r="R13">
        <f t="shared" si="0"/>
        <v>-5.925692868103555</v>
      </c>
      <c r="V13">
        <f t="shared" si="6"/>
        <v>0.49999999999999983</v>
      </c>
      <c r="W13" s="2">
        <f t="shared" si="1"/>
        <v>-2.4615015057868121</v>
      </c>
      <c r="Y13">
        <f t="shared" si="7"/>
        <v>0.16400000000000001</v>
      </c>
      <c r="Z13" s="2">
        <f t="shared" si="2"/>
        <v>4.424176350034335</v>
      </c>
    </row>
    <row r="14" spans="3:26" x14ac:dyDescent="0.3">
      <c r="F14" t="s">
        <v>22</v>
      </c>
      <c r="G14">
        <v>1000</v>
      </c>
      <c r="H14" t="s">
        <v>24</v>
      </c>
      <c r="N14">
        <f t="shared" si="3"/>
        <v>0.35009999999999997</v>
      </c>
      <c r="O14">
        <f t="shared" si="4"/>
        <v>465.99462721648547</v>
      </c>
      <c r="P14" s="2"/>
      <c r="Q14">
        <f t="shared" si="5"/>
        <v>0.99650000000000039</v>
      </c>
      <c r="R14">
        <f t="shared" si="0"/>
        <v>-5.5053082050186131</v>
      </c>
      <c r="V14">
        <f t="shared" si="6"/>
        <v>0.44999999999999984</v>
      </c>
      <c r="W14" s="2">
        <f t="shared" si="1"/>
        <v>-1.6154792708971835</v>
      </c>
      <c r="Y14">
        <f t="shared" si="7"/>
        <v>0.16300000000000001</v>
      </c>
      <c r="Z14" s="2">
        <f t="shared" si="2"/>
        <v>4.5116761446784874</v>
      </c>
    </row>
    <row r="15" spans="3:26" x14ac:dyDescent="0.3">
      <c r="F15" t="s">
        <v>23</v>
      </c>
      <c r="G15">
        <v>0.05</v>
      </c>
      <c r="H15" t="s">
        <v>16</v>
      </c>
      <c r="N15">
        <f t="shared" si="3"/>
        <v>0.40009999999999996</v>
      </c>
      <c r="O15">
        <f t="shared" si="4"/>
        <v>332.10645596950303</v>
      </c>
      <c r="P15" s="2"/>
      <c r="Q15">
        <f t="shared" si="5"/>
        <v>0.99600000000000044</v>
      </c>
      <c r="R15">
        <f t="shared" si="0"/>
        <v>-5.1139678192743947</v>
      </c>
      <c r="V15">
        <f t="shared" si="6"/>
        <v>0.39999999999999986</v>
      </c>
      <c r="W15" s="2">
        <f t="shared" si="1"/>
        <v>-1.3600939845154412</v>
      </c>
      <c r="Y15">
        <f t="shared" si="7"/>
        <v>0.16200000000000001</v>
      </c>
      <c r="Z15" s="2">
        <f t="shared" si="2"/>
        <v>4.6008401460850425</v>
      </c>
    </row>
    <row r="16" spans="3:26" x14ac:dyDescent="0.3">
      <c r="F16" t="s">
        <v>17</v>
      </c>
      <c r="G16">
        <v>3</v>
      </c>
      <c r="H16" t="s">
        <v>5</v>
      </c>
      <c r="J16">
        <v>1</v>
      </c>
      <c r="N16">
        <f t="shared" si="3"/>
        <v>0.45009999999999994</v>
      </c>
      <c r="O16">
        <f t="shared" si="4"/>
        <v>245.27582197620094</v>
      </c>
      <c r="P16" s="2"/>
      <c r="Q16">
        <f t="shared" si="5"/>
        <v>0.9955000000000005</v>
      </c>
      <c r="R16">
        <f t="shared" si="0"/>
        <v>-4.7463454673341419</v>
      </c>
      <c r="V16">
        <f t="shared" si="6"/>
        <v>0.34999999999999987</v>
      </c>
      <c r="W16" s="2">
        <f t="shared" si="1"/>
        <v>-1.0041701554585079</v>
      </c>
      <c r="Y16">
        <f t="shared" si="7"/>
        <v>0.161</v>
      </c>
      <c r="Z16" s="2">
        <f t="shared" si="2"/>
        <v>4.6917102940834061</v>
      </c>
    </row>
    <row r="17" spans="5:26" x14ac:dyDescent="0.3">
      <c r="F17" t="s">
        <v>18</v>
      </c>
      <c r="G17">
        <f>G16*G10</f>
        <v>3.4202754839081093E-3</v>
      </c>
      <c r="H17" t="s">
        <v>7</v>
      </c>
      <c r="J17">
        <f>J16/0.3048^3</f>
        <v>35.314666721488585</v>
      </c>
      <c r="K17" t="s">
        <v>19</v>
      </c>
      <c r="N17">
        <f t="shared" si="3"/>
        <v>0.50009999999999999</v>
      </c>
      <c r="O17">
        <f t="shared" si="4"/>
        <v>185.98274975930761</v>
      </c>
      <c r="P17" s="2"/>
      <c r="Q17">
        <f t="shared" si="5"/>
        <v>0.99500000000000055</v>
      </c>
      <c r="R17">
        <f t="shared" si="0"/>
        <v>-4.3985625927260212</v>
      </c>
      <c r="V17">
        <f t="shared" si="6"/>
        <v>0.29999999999999988</v>
      </c>
      <c r="W17" s="2">
        <f t="shared" si="1"/>
        <v>-0.46476056493746604</v>
      </c>
      <c r="Y17">
        <f t="shared" si="7"/>
        <v>0.16</v>
      </c>
      <c r="Z17" s="2">
        <f t="shared" si="2"/>
        <v>4.7843298483700396</v>
      </c>
    </row>
    <row r="18" spans="5:26" x14ac:dyDescent="0.3">
      <c r="F18" t="s">
        <v>18</v>
      </c>
      <c r="G18">
        <f>G17*60/0.3048^3</f>
        <v>7.247153328593579</v>
      </c>
      <c r="H18" t="s">
        <v>20</v>
      </c>
      <c r="N18">
        <f t="shared" si="3"/>
        <v>0.55010000000000003</v>
      </c>
      <c r="O18">
        <f t="shared" si="4"/>
        <v>143.74994293304465</v>
      </c>
      <c r="P18" s="2"/>
      <c r="Q18">
        <f t="shared" si="5"/>
        <v>0.99450000000000061</v>
      </c>
      <c r="R18">
        <f t="shared" si="0"/>
        <v>-4.0676907872812977</v>
      </c>
      <c r="V18">
        <f t="shared" si="6"/>
        <v>0.24999999999999989</v>
      </c>
      <c r="W18" s="2">
        <f t="shared" si="1"/>
        <v>0.43305585915548483</v>
      </c>
      <c r="Y18">
        <f t="shared" si="7"/>
        <v>0.159</v>
      </c>
      <c r="Z18" s="2">
        <f t="shared" si="2"/>
        <v>4.8787434385579367</v>
      </c>
    </row>
    <row r="19" spans="5:26" x14ac:dyDescent="0.3">
      <c r="F19" t="s">
        <v>14</v>
      </c>
      <c r="G19">
        <f>28.9645</f>
        <v>28.964500000000001</v>
      </c>
      <c r="N19">
        <f t="shared" si="3"/>
        <v>0.60010000000000008</v>
      </c>
      <c r="O19">
        <f t="shared" si="4"/>
        <v>112.57240120846755</v>
      </c>
      <c r="P19" s="2"/>
      <c r="Q19">
        <f t="shared" si="5"/>
        <v>0.99400000000000066</v>
      </c>
      <c r="R19">
        <f t="shared" si="0"/>
        <v>-3.7514546528143184</v>
      </c>
      <c r="V19">
        <f t="shared" si="6"/>
        <v>0.1999999999999999</v>
      </c>
      <c r="W19" s="2">
        <f t="shared" si="1"/>
        <v>2.1120333907381301</v>
      </c>
      <c r="Y19">
        <f t="shared" si="7"/>
        <v>0.158</v>
      </c>
      <c r="Z19" s="2">
        <f t="shared" si="2"/>
        <v>4.974997116452375</v>
      </c>
    </row>
    <row r="20" spans="5:26" x14ac:dyDescent="0.3">
      <c r="F20" t="s">
        <v>10</v>
      </c>
      <c r="G20">
        <f>101325+6894.76*(1)</f>
        <v>108219.76</v>
      </c>
      <c r="H20" t="s">
        <v>118</v>
      </c>
      <c r="N20">
        <f t="shared" si="3"/>
        <v>0.65010000000000012</v>
      </c>
      <c r="O20">
        <f t="shared" si="4"/>
        <v>88.815707960835056</v>
      </c>
      <c r="P20" s="2"/>
      <c r="Q20">
        <f t="shared" si="5"/>
        <v>0.99350000000000072</v>
      </c>
      <c r="R20">
        <f t="shared" si="0"/>
        <v>-3.4480444353542947</v>
      </c>
      <c r="V20">
        <f t="shared" si="6"/>
        <v>0.14999999999999991</v>
      </c>
      <c r="W20" s="2">
        <f t="shared" si="1"/>
        <v>5.817310870642932</v>
      </c>
      <c r="Y20">
        <f t="shared" si="7"/>
        <v>0.157</v>
      </c>
      <c r="Z20" s="2">
        <f t="shared" si="2"/>
        <v>5.0731384106662869</v>
      </c>
    </row>
    <row r="21" spans="5:26" x14ac:dyDescent="0.3">
      <c r="F21" t="s">
        <v>11</v>
      </c>
      <c r="G21">
        <v>293.14999999999998</v>
      </c>
      <c r="H21" t="s">
        <v>117</v>
      </c>
      <c r="N21">
        <f>0.05+N20</f>
        <v>0.70010000000000017</v>
      </c>
      <c r="O21">
        <f t="shared" si="4"/>
        <v>70.171421005618683</v>
      </c>
      <c r="P21" s="2"/>
      <c r="Q21">
        <f t="shared" si="5"/>
        <v>0.99300000000000077</v>
      </c>
      <c r="R21">
        <f t="shared" si="0"/>
        <v>-3.1559925929639849</v>
      </c>
      <c r="V21">
        <f t="shared" si="6"/>
        <v>9.9999999999999908E-2</v>
      </c>
      <c r="W21" s="2">
        <f t="shared" si="1"/>
        <v>30.297454624201325</v>
      </c>
      <c r="Y21">
        <f t="shared" si="7"/>
        <v>0.156</v>
      </c>
      <c r="Z21" s="2">
        <f t="shared" si="2"/>
        <v>5.1732163836962393</v>
      </c>
    </row>
    <row r="22" spans="5:26" x14ac:dyDescent="0.3">
      <c r="F22" t="s">
        <v>12</v>
      </c>
      <c r="G22">
        <v>8314.4621750000006</v>
      </c>
      <c r="H22" t="s">
        <v>13</v>
      </c>
      <c r="N22">
        <f t="shared" si="3"/>
        <v>0.75010000000000021</v>
      </c>
      <c r="O22">
        <f t="shared" si="4"/>
        <v>55.100564053525886</v>
      </c>
      <c r="P22" s="2"/>
      <c r="Q22">
        <f t="shared" si="5"/>
        <v>0.99250000000000083</v>
      </c>
      <c r="R22">
        <f t="shared" si="0"/>
        <v>-2.8740894968074993</v>
      </c>
      <c r="V22">
        <f t="shared" si="6"/>
        <v>4.9999999999999906E-2</v>
      </c>
      <c r="W22" s="2">
        <f t="shared" si="1"/>
        <v>212.93474996319429</v>
      </c>
      <c r="Y22">
        <f t="shared" si="7"/>
        <v>0.155</v>
      </c>
      <c r="Z22" s="2">
        <f t="shared" si="2"/>
        <v>5.2752816915858229</v>
      </c>
    </row>
    <row r="23" spans="5:26" x14ac:dyDescent="0.3">
      <c r="F23" t="s">
        <v>9</v>
      </c>
      <c r="G23">
        <f>G20*G19/G22/G21</f>
        <v>1.2860224257390864</v>
      </c>
      <c r="H23" t="s">
        <v>24</v>
      </c>
      <c r="N23">
        <f t="shared" si="3"/>
        <v>0.80010000000000026</v>
      </c>
      <c r="O23">
        <f t="shared" si="4"/>
        <v>42.512713543315868</v>
      </c>
      <c r="P23" s="2"/>
      <c r="Q23">
        <f t="shared" si="5"/>
        <v>0.99200000000000088</v>
      </c>
      <c r="R23">
        <f t="shared" si="0"/>
        <v>-2.6013240913471867</v>
      </c>
      <c r="W23" s="2"/>
      <c r="Y23">
        <f t="shared" si="7"/>
        <v>0.154</v>
      </c>
      <c r="Z23" s="2">
        <f t="shared" si="2"/>
        <v>5.3793866463119926</v>
      </c>
    </row>
    <row r="24" spans="5:26" x14ac:dyDescent="0.3">
      <c r="F24" t="s">
        <v>15</v>
      </c>
      <c r="G24">
        <f>18.27*0.000001</f>
        <v>1.827E-5</v>
      </c>
      <c r="H24" t="s">
        <v>16</v>
      </c>
      <c r="N24">
        <f t="shared" si="3"/>
        <v>0.8501000000000003</v>
      </c>
      <c r="O24">
        <f t="shared" si="4"/>
        <v>31.551477504158996</v>
      </c>
      <c r="P24" s="2"/>
      <c r="Q24">
        <f t="shared" si="5"/>
        <v>0.99150000000000094</v>
      </c>
      <c r="R24">
        <f t="shared" si="0"/>
        <v>-2.3368410347998174</v>
      </c>
      <c r="W24" s="2"/>
      <c r="Y24">
        <f t="shared" si="7"/>
        <v>0.153</v>
      </c>
      <c r="Z24" s="2">
        <f t="shared" si="2"/>
        <v>5.4855852810366024</v>
      </c>
    </row>
    <row r="25" spans="5:26" x14ac:dyDescent="0.3">
      <c r="I25" t="s">
        <v>89</v>
      </c>
      <c r="J25">
        <f>(G26/G27)^(-0.2)*G14/G23*(G11/G16)^2</f>
        <v>138.42967503094278</v>
      </c>
      <c r="N25">
        <f t="shared" si="3"/>
        <v>0.90010000000000034</v>
      </c>
      <c r="O25">
        <f t="shared" si="4"/>
        <v>21.382090975500578</v>
      </c>
      <c r="P25" s="2"/>
      <c r="Q25">
        <f t="shared" si="5"/>
        <v>0.99100000000000099</v>
      </c>
      <c r="R25">
        <f t="shared" si="0"/>
        <v>-2.0799090484382177</v>
      </c>
      <c r="W25" s="2"/>
      <c r="Y25">
        <f t="shared" si="7"/>
        <v>0.152</v>
      </c>
      <c r="Z25" s="2">
        <f t="shared" si="2"/>
        <v>5.5939334183749452</v>
      </c>
    </row>
    <row r="26" spans="5:26" x14ac:dyDescent="0.3">
      <c r="F26" t="s">
        <v>21</v>
      </c>
      <c r="G26">
        <f>G14*G11*G9/G15</f>
        <v>761.99999999999989</v>
      </c>
      <c r="I26" t="s">
        <v>92</v>
      </c>
      <c r="J26">
        <f>J25^0.5</f>
        <v>11.76561409493541</v>
      </c>
      <c r="N26">
        <f>0.05+N25</f>
        <v>0.95010000000000039</v>
      </c>
      <c r="O26">
        <f t="shared" si="4"/>
        <v>10.702204359829663</v>
      </c>
      <c r="P26" s="2"/>
      <c r="Q26">
        <f t="shared" si="5"/>
        <v>0.99050000000000105</v>
      </c>
      <c r="R26">
        <f t="shared" si="0"/>
        <v>-1.8298970872546232</v>
      </c>
      <c r="W26" s="2"/>
      <c r="Y26">
        <f t="shared" si="7"/>
        <v>0.151</v>
      </c>
      <c r="Z26" s="2">
        <f t="shared" si="2"/>
        <v>5.7044887418415113</v>
      </c>
    </row>
    <row r="27" spans="5:26" x14ac:dyDescent="0.3">
      <c r="F27" t="s">
        <v>25</v>
      </c>
      <c r="G27">
        <f>G23*G16*G9/G24</f>
        <v>8045.5590181706375</v>
      </c>
      <c r="I27" s="2" t="s">
        <v>91</v>
      </c>
      <c r="J27">
        <f>2*0.046*(G27)^(-0.2)*G23*G16^2/G9</f>
        <v>4.6263944471014806</v>
      </c>
      <c r="N27">
        <v>0.97165508</v>
      </c>
      <c r="O27">
        <f t="shared" si="4"/>
        <v>5.0797173537769815</v>
      </c>
      <c r="P27" s="2"/>
      <c r="Q27">
        <f t="shared" si="5"/>
        <v>0.9900000000000011</v>
      </c>
      <c r="R27">
        <f t="shared" si="0"/>
        <v>-1.5862560917880824</v>
      </c>
      <c r="W27" s="2"/>
      <c r="Y27">
        <f t="shared" si="7"/>
        <v>0.15</v>
      </c>
      <c r="Z27" s="2">
        <f t="shared" si="2"/>
        <v>5.8173108706429284</v>
      </c>
    </row>
    <row r="28" spans="5:26" x14ac:dyDescent="0.3">
      <c r="I28" t="s">
        <v>90</v>
      </c>
      <c r="J28">
        <f>(G14-G23)*G6*SIN(G7)/J27</f>
        <v>0</v>
      </c>
      <c r="L28">
        <f>cal_h(1,0,0.2,0.2)</f>
        <v>0.4208145216540462</v>
      </c>
      <c r="Q28">
        <f t="shared" si="5"/>
        <v>0.98950000000000116</v>
      </c>
      <c r="R28">
        <f t="shared" si="0"/>
        <v>-1.3485048019255701</v>
      </c>
      <c r="W28" s="2"/>
      <c r="Y28">
        <f t="shared" si="7"/>
        <v>0.14899999999999999</v>
      </c>
      <c r="Z28" s="2">
        <f t="shared" si="2"/>
        <v>5.9324614379986187</v>
      </c>
    </row>
    <row r="29" spans="5:26" x14ac:dyDescent="0.3">
      <c r="F29" t="s">
        <v>27</v>
      </c>
      <c r="G29">
        <f>G11+G16</f>
        <v>4</v>
      </c>
      <c r="H29" t="s">
        <v>5</v>
      </c>
      <c r="I29" t="s">
        <v>48</v>
      </c>
      <c r="J29">
        <f>cal_h(J26,J28,0.2,0.2)</f>
        <v>0.78826779269337777</v>
      </c>
      <c r="Q29">
        <f t="shared" si="5"/>
        <v>0.98900000000000121</v>
      </c>
      <c r="R29">
        <f t="shared" si="0"/>
        <v>-1.1162185792936301</v>
      </c>
      <c r="Y29">
        <f t="shared" si="7"/>
        <v>0.14799999999999999</v>
      </c>
      <c r="Z29" s="2">
        <f t="shared" si="2"/>
        <v>6.0500041731804615</v>
      </c>
    </row>
    <row r="30" spans="5:26" x14ac:dyDescent="0.3">
      <c r="F30" t="s">
        <v>26</v>
      </c>
      <c r="G30">
        <f>G14*G29*G9/G15</f>
        <v>3047.9999999999995</v>
      </c>
      <c r="H30" t="s">
        <v>28</v>
      </c>
      <c r="I30" t="s">
        <v>93</v>
      </c>
      <c r="J30">
        <f>J29*(1-0.068/G11)</f>
        <v>0.73466558279022798</v>
      </c>
      <c r="Q30">
        <f t="shared" si="5"/>
        <v>0.98850000000000127</v>
      </c>
      <c r="R30">
        <f t="shared" si="0"/>
        <v>-0.88902049324901244</v>
      </c>
      <c r="Y30">
        <f t="shared" si="7"/>
        <v>0.14699999999999999</v>
      </c>
      <c r="Z30" s="2">
        <f t="shared" si="2"/>
        <v>6.1700049874745559</v>
      </c>
    </row>
    <row r="31" spans="5:26" x14ac:dyDescent="0.3">
      <c r="E31" t="s">
        <v>30</v>
      </c>
      <c r="F31" t="s">
        <v>29</v>
      </c>
      <c r="G31">
        <f>EXP(-(7.85*10^-3*G8+2.48*10^-6*G30))</f>
        <v>0.9924694576925861</v>
      </c>
      <c r="H31" t="s">
        <v>28</v>
      </c>
      <c r="I31" t="s">
        <v>94</v>
      </c>
      <c r="J31">
        <f>-24.729+0.00766*EXP(9.91209*J30)+24.721*EXP(0.20524*J30)</f>
        <v>15.152810026878131</v>
      </c>
      <c r="K31" t="s">
        <v>116</v>
      </c>
      <c r="L31">
        <f>cal_inv_hlls(0.8,G31 )</f>
        <v>0.97285452842383113</v>
      </c>
      <c r="Q31">
        <f t="shared" si="5"/>
        <v>0.98800000000000132</v>
      </c>
      <c r="R31">
        <f t="shared" si="0"/>
        <v>-0.66657413415765265</v>
      </c>
      <c r="Y31">
        <f t="shared" si="7"/>
        <v>0.14599999999999999</v>
      </c>
      <c r="Z31" s="2">
        <f t="shared" si="2"/>
        <v>6.2925320642807003</v>
      </c>
    </row>
    <row r="32" spans="5:26" x14ac:dyDescent="0.3">
      <c r="F32" t="s">
        <v>33</v>
      </c>
      <c r="G32">
        <f>G14*G31+G23*(1-G31)</f>
        <v>992.47914213887134</v>
      </c>
      <c r="H32" t="s">
        <v>24</v>
      </c>
      <c r="I32" t="s">
        <v>95</v>
      </c>
      <c r="J32">
        <f>J31*G29/G9/(1-0.05*G16)/G9^0.3/3600</f>
        <v>1.3855725630773867</v>
      </c>
      <c r="K32" t="s">
        <v>96</v>
      </c>
      <c r="Q32">
        <f t="shared" si="5"/>
        <v>0.98750000000000138</v>
      </c>
      <c r="R32">
        <f t="shared" si="0"/>
        <v>-0.4485777616559371</v>
      </c>
      <c r="Y32">
        <f t="shared" si="7"/>
        <v>0.14499999999999999</v>
      </c>
      <c r="Z32" s="2">
        <f t="shared" si="2"/>
        <v>6.4176559535789863</v>
      </c>
    </row>
    <row r="33" spans="1:26" x14ac:dyDescent="0.3">
      <c r="F33" t="s">
        <v>34</v>
      </c>
      <c r="G33">
        <f>G15*G31+G24*(1-G31)</f>
        <v>4.9623610467637268E-2</v>
      </c>
      <c r="H33" t="s">
        <v>16</v>
      </c>
      <c r="Q33">
        <f t="shared" si="5"/>
        <v>0.98700000000000143</v>
      </c>
      <c r="R33">
        <f t="shared" si="0"/>
        <v>-0.23475949673870233</v>
      </c>
      <c r="Y33">
        <f t="shared" si="7"/>
        <v>0.14399999999999999</v>
      </c>
      <c r="Z33" s="2">
        <f t="shared" si="2"/>
        <v>6.5454496710065904</v>
      </c>
    </row>
    <row r="34" spans="1:26" x14ac:dyDescent="0.3">
      <c r="E34" t="s">
        <v>36</v>
      </c>
      <c r="F34" t="s">
        <v>35</v>
      </c>
      <c r="G34">
        <v>1.2</v>
      </c>
      <c r="Y34">
        <f t="shared" si="7"/>
        <v>0.14299999999999999</v>
      </c>
      <c r="Z34" s="2">
        <f t="shared" si="2"/>
        <v>6.6759888018039524</v>
      </c>
    </row>
    <row r="35" spans="1:26" x14ac:dyDescent="0.3">
      <c r="E35" t="s">
        <v>38</v>
      </c>
      <c r="F35" t="s">
        <v>37</v>
      </c>
      <c r="G35">
        <f>G34*G29+0.54*(G6*G9)^0.5*COS(G7)+0.35*(G6*G9)^0.5*SIN(G7)</f>
        <v>5.1299660709830635</v>
      </c>
      <c r="H35" t="s">
        <v>5</v>
      </c>
      <c r="Y35">
        <f t="shared" si="7"/>
        <v>0.14199999999999999</v>
      </c>
      <c r="Z35" s="2">
        <f t="shared" si="2"/>
        <v>6.8093516099054536</v>
      </c>
    </row>
    <row r="36" spans="1:26" x14ac:dyDescent="0.3">
      <c r="A36" t="s">
        <v>85</v>
      </c>
      <c r="B36" t="s">
        <v>86</v>
      </c>
      <c r="C36" t="s">
        <v>87</v>
      </c>
      <c r="E36" t="s">
        <v>42</v>
      </c>
      <c r="F36" t="s">
        <v>43</v>
      </c>
      <c r="G36">
        <f>(G35-G29)*G14*G10*G31</f>
        <v>1.278563748696661</v>
      </c>
      <c r="H36" t="s">
        <v>44</v>
      </c>
      <c r="Y36">
        <f t="shared" si="7"/>
        <v>0.14099999999999999</v>
      </c>
      <c r="Z36" s="2">
        <f t="shared" si="2"/>
        <v>9.1348542398511494</v>
      </c>
    </row>
    <row r="37" spans="1:26" x14ac:dyDescent="0.3">
      <c r="A37">
        <v>5</v>
      </c>
      <c r="B37">
        <v>1.016</v>
      </c>
      <c r="C37">
        <v>-1.0787943690214279</v>
      </c>
      <c r="D37" s="3"/>
      <c r="E37" t="s">
        <v>46</v>
      </c>
      <c r="F37" t="s">
        <v>45</v>
      </c>
      <c r="G37">
        <f>G31*G9</f>
        <v>3.7813086338087526E-2</v>
      </c>
      <c r="H37" t="s">
        <v>1</v>
      </c>
      <c r="Y37">
        <f t="shared" si="7"/>
        <v>0.13999999999999999</v>
      </c>
      <c r="Z37" s="2">
        <f t="shared" si="2"/>
        <v>9.3958133970300679</v>
      </c>
    </row>
    <row r="38" spans="1:26" x14ac:dyDescent="0.3">
      <c r="A38">
        <v>1</v>
      </c>
      <c r="B38">
        <v>0.76200000000000001</v>
      </c>
      <c r="C38">
        <v>-1.0093550362162642</v>
      </c>
      <c r="F38" t="s">
        <v>47</v>
      </c>
      <c r="G38">
        <f>G35-G29</f>
        <v>1.1299660709830635</v>
      </c>
      <c r="Y38">
        <f t="shared" si="7"/>
        <v>0.13899999999999998</v>
      </c>
      <c r="Z38" s="2">
        <f t="shared" si="2"/>
        <v>9.6643112533444615</v>
      </c>
    </row>
    <row r="39" spans="1:26" x14ac:dyDescent="0.3">
      <c r="A39">
        <v>2</v>
      </c>
      <c r="B39">
        <v>0.38100000000000001</v>
      </c>
      <c r="C39">
        <v>-0.91944360871169384</v>
      </c>
      <c r="F39" t="s">
        <v>50</v>
      </c>
      <c r="G39">
        <f>H39</f>
        <v>0.98644014355375309</v>
      </c>
      <c r="H39">
        <f>cal_hcrit(0.1,$G$36,$G$14,$G$6,$G$10,$G$9,$G$7)</f>
        <v>0.98644014355375309</v>
      </c>
      <c r="I39">
        <f>Cal_hC_TTBN(0.037)</f>
        <v>3.4560702096986542E-2</v>
      </c>
      <c r="Y39">
        <f t="shared" si="7"/>
        <v>0.13799999999999998</v>
      </c>
      <c r="Z39" s="2">
        <f t="shared" si="2"/>
        <v>9.9406006992240492</v>
      </c>
    </row>
    <row r="40" spans="1:26" x14ac:dyDescent="0.3">
      <c r="A40">
        <v>3</v>
      </c>
      <c r="B40">
        <v>7.619999999999999E-2</v>
      </c>
      <c r="C40">
        <v>-0.85725394505866914</v>
      </c>
      <c r="F40" t="s">
        <v>51</v>
      </c>
      <c r="G40">
        <f>G39*G9</f>
        <v>3.7583369469397991E-2</v>
      </c>
      <c r="Y40">
        <f t="shared" si="7"/>
        <v>0.13699999999999998</v>
      </c>
      <c r="Z40" s="2">
        <f t="shared" si="2"/>
        <v>10.224944884787424</v>
      </c>
    </row>
    <row r="41" spans="1:26" x14ac:dyDescent="0.3">
      <c r="A41">
        <v>4</v>
      </c>
      <c r="B41">
        <v>1.2699999999999999E-2</v>
      </c>
      <c r="C41">
        <v>-0.84523782786294721</v>
      </c>
      <c r="E41" t="s">
        <v>52</v>
      </c>
      <c r="G41" t="b">
        <f>(G37&gt;G40)</f>
        <v>1</v>
      </c>
      <c r="Y41">
        <f t="shared" si="7"/>
        <v>0.13599999999999998</v>
      </c>
      <c r="Z41" s="2">
        <f t="shared" si="2"/>
        <v>10.517617711498248</v>
      </c>
    </row>
    <row r="42" spans="1:26" x14ac:dyDescent="0.3">
      <c r="F42" t="s">
        <v>53</v>
      </c>
      <c r="G42" t="b">
        <f>NOT(G41)</f>
        <v>0</v>
      </c>
      <c r="Y42">
        <f t="shared" si="7"/>
        <v>0.13499999999999998</v>
      </c>
      <c r="Z42" s="2">
        <f t="shared" si="2"/>
        <v>10.818904351138471</v>
      </c>
    </row>
    <row r="43" spans="1:26" x14ac:dyDescent="0.3">
      <c r="E43" t="s">
        <v>54</v>
      </c>
      <c r="F43" t="s">
        <v>59</v>
      </c>
      <c r="G43">
        <f>30*G9</f>
        <v>1.1429999999999998</v>
      </c>
      <c r="H43" t="s">
        <v>1</v>
      </c>
      <c r="J43" t="s">
        <v>88</v>
      </c>
      <c r="Y43">
        <f t="shared" si="7"/>
        <v>0.13399999999999998</v>
      </c>
      <c r="Z43" s="2">
        <f t="shared" si="2"/>
        <v>11.129101793829191</v>
      </c>
    </row>
    <row r="44" spans="1:26" x14ac:dyDescent="0.3">
      <c r="F44" t="s">
        <v>4</v>
      </c>
      <c r="G44">
        <f>G11/0.3048</f>
        <v>3.280839895013123</v>
      </c>
      <c r="H44" t="s">
        <v>55</v>
      </c>
      <c r="Y44">
        <f t="shared" si="7"/>
        <v>0.13299999999999998</v>
      </c>
      <c r="Z44" s="2">
        <f t="shared" si="2"/>
        <v>11.448519426953187</v>
      </c>
    </row>
    <row r="45" spans="1:26" x14ac:dyDescent="0.3">
      <c r="F45" t="s">
        <v>27</v>
      </c>
      <c r="G45">
        <f>G29/0.3048</f>
        <v>13.123359580052492</v>
      </c>
      <c r="H45" t="s">
        <v>55</v>
      </c>
      <c r="Y45">
        <f t="shared" si="7"/>
        <v>0.13199999999999998</v>
      </c>
      <c r="Z45" s="2">
        <f t="shared" si="2"/>
        <v>11.777479646966988</v>
      </c>
    </row>
    <row r="46" spans="1:26" x14ac:dyDescent="0.3">
      <c r="F46" t="s">
        <v>56</v>
      </c>
      <c r="G46">
        <f>0.0226*(G44/32.2/(G9/0.0254/12))^1.2*(212.6/G45+G45)^1.2*(0.836+2.75*(SIN(G7))^0.25)</f>
        <v>0.85199354345932177</v>
      </c>
      <c r="H46" t="s">
        <v>57</v>
      </c>
      <c r="Y46">
        <f t="shared" si="7"/>
        <v>0.13099999999999998</v>
      </c>
      <c r="Z46" s="2">
        <f t="shared" si="2"/>
        <v>12.116318506233277</v>
      </c>
    </row>
    <row r="47" spans="1:26" x14ac:dyDescent="0.3">
      <c r="F47" t="s">
        <v>58</v>
      </c>
      <c r="G47">
        <f>G35/G46</f>
        <v>6.0211325665145639</v>
      </c>
      <c r="H47" t="s">
        <v>1</v>
      </c>
      <c r="I47">
        <f>G35/J32</f>
        <v>3.7024160319610382</v>
      </c>
      <c r="Y47">
        <f t="shared" si="7"/>
        <v>0.12999999999999998</v>
      </c>
      <c r="Z47" s="2">
        <f t="shared" si="2"/>
        <v>12.46538639716187</v>
      </c>
    </row>
    <row r="48" spans="1:26" x14ac:dyDescent="0.3">
      <c r="F48" t="s">
        <v>60</v>
      </c>
      <c r="G48">
        <f>G47-G43</f>
        <v>4.8781325665145641</v>
      </c>
      <c r="H48" t="s">
        <v>1</v>
      </c>
      <c r="Z48" s="2"/>
    </row>
    <row r="49" spans="6:50" x14ac:dyDescent="0.3">
      <c r="F49" t="s">
        <v>61</v>
      </c>
      <c r="G49" t="s">
        <v>62</v>
      </c>
    </row>
    <row r="50" spans="6:50" x14ac:dyDescent="0.3">
      <c r="W50" t="s">
        <v>110</v>
      </c>
    </row>
    <row r="51" spans="6:50" ht="15" customHeight="1" x14ac:dyDescent="0.3">
      <c r="F51" t="s">
        <v>65</v>
      </c>
      <c r="G51" s="1">
        <f>1*G29+1.53*(G6*G5*(G14-G23)/G14^2)^0.25*G31^0.5*SIN(G7)</f>
        <v>4</v>
      </c>
      <c r="H51" t="s">
        <v>5</v>
      </c>
      <c r="W51" t="s">
        <v>111</v>
      </c>
      <c r="X51">
        <f>G47</f>
        <v>6.0211325665145639</v>
      </c>
      <c r="Y51">
        <f>X51*5</f>
        <v>30.105662832572818</v>
      </c>
      <c r="Z51">
        <f>Y51-X51</f>
        <v>24.084530266058255</v>
      </c>
    </row>
    <row r="52" spans="6:50" x14ac:dyDescent="0.3">
      <c r="F52" t="s">
        <v>66</v>
      </c>
      <c r="G52">
        <f>(G29-G51*(1-G31))/G31</f>
        <v>4</v>
      </c>
      <c r="H52" t="s">
        <v>5</v>
      </c>
      <c r="Q52">
        <v>0</v>
      </c>
      <c r="W52" t="s">
        <v>112</v>
      </c>
      <c r="X52">
        <f>G43</f>
        <v>1.1429999999999998</v>
      </c>
    </row>
    <row r="53" spans="6:50" x14ac:dyDescent="0.3">
      <c r="F53" t="s">
        <v>67</v>
      </c>
      <c r="G53" s="3">
        <f>(G35-G52)*G14*G10*G31</f>
        <v>1.278563748696661</v>
      </c>
      <c r="H53" t="s">
        <v>44</v>
      </c>
      <c r="I53" t="s">
        <v>80</v>
      </c>
      <c r="Q53">
        <f>COLUMN()</f>
        <v>17</v>
      </c>
      <c r="W53" t="s">
        <v>113</v>
      </c>
      <c r="X53">
        <f>G48</f>
        <v>4.8781325665145641</v>
      </c>
      <c r="AL53" s="4"/>
      <c r="AO53" s="4"/>
    </row>
    <row r="54" spans="6:50" x14ac:dyDescent="0.3">
      <c r="F54" s="5" t="s">
        <v>72</v>
      </c>
      <c r="G54" s="3">
        <f>cal_inv_hlls(0.8,G31 )</f>
        <v>0.97285452842383113</v>
      </c>
      <c r="H54" t="s">
        <v>28</v>
      </c>
      <c r="J54">
        <v>0</v>
      </c>
      <c r="Q54" t="s">
        <v>68</v>
      </c>
    </row>
    <row r="55" spans="6:50" x14ac:dyDescent="0.3">
      <c r="F55" s="5" t="s">
        <v>71</v>
      </c>
      <c r="G55" s="3">
        <f>G54*G9</f>
        <v>3.7065757532947961E-2</v>
      </c>
      <c r="H55" t="s">
        <v>73</v>
      </c>
      <c r="L55" t="s">
        <v>78</v>
      </c>
      <c r="M55" t="s">
        <v>77</v>
      </c>
      <c r="N55" t="s">
        <v>79</v>
      </c>
      <c r="P55">
        <f>ROW()</f>
        <v>55</v>
      </c>
      <c r="Q55" t="s">
        <v>69</v>
      </c>
      <c r="R55" t="s">
        <v>70</v>
      </c>
      <c r="T55" t="s">
        <v>74</v>
      </c>
      <c r="AX55" s="4"/>
    </row>
    <row r="56" spans="6:50" x14ac:dyDescent="0.3">
      <c r="F56" s="5" t="s">
        <v>75</v>
      </c>
      <c r="G56" s="3">
        <f>(G35-G52)*G31/G35</f>
        <v>0.2186090118651948</v>
      </c>
      <c r="I56">
        <f>J56*-1</f>
        <v>0</v>
      </c>
      <c r="J56">
        <v>0</v>
      </c>
      <c r="K56">
        <v>3.7065757532947961E-2</v>
      </c>
      <c r="L56">
        <f>K56/$G$9</f>
        <v>0.97285452842383113</v>
      </c>
      <c r="M56">
        <v>3.9999999999966498</v>
      </c>
      <c r="N56">
        <f>cal_hltb(L56)</f>
        <v>0.99246945768964334</v>
      </c>
      <c r="Q56">
        <v>0</v>
      </c>
      <c r="R56">
        <v>3.7065757532947961E-2</v>
      </c>
      <c r="S56">
        <f>Q56*-1</f>
        <v>0</v>
      </c>
      <c r="T56">
        <f>R56/$G$9</f>
        <v>0.97285452842383113</v>
      </c>
      <c r="W56">
        <v>0</v>
      </c>
      <c r="X56">
        <f t="shared" ref="X56:X98" si="8">$W$98-W56</f>
        <v>1.1558228378514974</v>
      </c>
      <c r="Y56">
        <f>L31</f>
        <v>0.97285452842383113</v>
      </c>
      <c r="Z56">
        <v>5</v>
      </c>
      <c r="AA56">
        <f>$X$51*Z56-W56</f>
        <v>30.105662832572818</v>
      </c>
      <c r="AB56">
        <f>Y56</f>
        <v>0.97285452842383113</v>
      </c>
    </row>
    <row r="57" spans="6:50" x14ac:dyDescent="0.3">
      <c r="G57">
        <f>cal_inv_hlls(0.5,G56)</f>
        <v>0.27068167167120799</v>
      </c>
      <c r="I57">
        <f t="shared" ref="I57:I68" si="9">J57*-1</f>
        <v>-1.0000000000000001E-5</v>
      </c>
      <c r="J57">
        <v>1.0000000000000001E-5</v>
      </c>
      <c r="K57">
        <v>3.7049557417123825E-2</v>
      </c>
      <c r="L57">
        <f t="shared" ref="L57:L87" si="10">K57/$G$9</f>
        <v>0.97242932853343389</v>
      </c>
      <c r="M57">
        <v>3.9997988699818228</v>
      </c>
      <c r="N57">
        <f t="shared" ref="N57:N68" si="11">cal_hltb(L57)</f>
        <v>0.99229283303042148</v>
      </c>
      <c r="Q57">
        <v>9.9999999999999995E-7</v>
      </c>
      <c r="R57">
        <v>3.6939478332459932E-2</v>
      </c>
      <c r="S57">
        <f t="shared" ref="S57:S69" si="12">Q57*-1</f>
        <v>-9.9999999999999995E-7</v>
      </c>
      <c r="T57">
        <f t="shared" ref="T57:T109" si="13">R57/$G$9</f>
        <v>0.9695401137128592</v>
      </c>
      <c r="W57">
        <f>X52</f>
        <v>1.1429999999999998</v>
      </c>
      <c r="X57">
        <f t="shared" si="8"/>
        <v>1.2822837851497626E-2</v>
      </c>
      <c r="Y57">
        <f>L31</f>
        <v>0.97285452842383113</v>
      </c>
      <c r="Z57">
        <v>5</v>
      </c>
      <c r="AA57">
        <f t="shared" ref="AA57:AA98" si="14">$X$51*Z57-W57</f>
        <v>28.962662832572818</v>
      </c>
      <c r="AB57">
        <f>Y57</f>
        <v>0.97285452842383113</v>
      </c>
    </row>
    <row r="58" spans="6:50" x14ac:dyDescent="0.3">
      <c r="F58" s="5" t="s">
        <v>76</v>
      </c>
      <c r="G58">
        <f>G57*G9</f>
        <v>1.0312971690673023E-2</v>
      </c>
      <c r="I58">
        <f t="shared" si="9"/>
        <v>-7.8654501633458401E-5</v>
      </c>
      <c r="J58">
        <v>7.8654501633458401E-5</v>
      </c>
      <c r="K58">
        <v>3.6948424091105582E-2</v>
      </c>
      <c r="L58">
        <f t="shared" si="10"/>
        <v>0.9697749105277057</v>
      </c>
      <c r="M58">
        <v>3.9985078497439428</v>
      </c>
      <c r="N58">
        <f t="shared" si="11"/>
        <v>0.99116060374851078</v>
      </c>
      <c r="Q58">
        <v>1.9999999999999999E-6</v>
      </c>
      <c r="R58">
        <v>3.68340676479764E-2</v>
      </c>
      <c r="S58">
        <f t="shared" si="12"/>
        <v>-1.9999999999999999E-6</v>
      </c>
      <c r="T58">
        <f t="shared" si="13"/>
        <v>0.96677342908074548</v>
      </c>
      <c r="W58">
        <f>$W$57+Q56</f>
        <v>1.1429999999999998</v>
      </c>
      <c r="X58">
        <f t="shared" si="8"/>
        <v>1.2822837851497626E-2</v>
      </c>
      <c r="Y58">
        <f t="shared" ref="Y58:Y98" si="15">T56</f>
        <v>0.97285452842383113</v>
      </c>
      <c r="Z58">
        <v>5</v>
      </c>
      <c r="AA58">
        <f t="shared" si="14"/>
        <v>28.962662832572818</v>
      </c>
      <c r="AB58">
        <v>0.97285452842383113</v>
      </c>
    </row>
    <row r="59" spans="6:50" x14ac:dyDescent="0.3">
      <c r="G59" s="3"/>
      <c r="I59">
        <f t="shared" si="9"/>
        <v>-1.6049462242151365E-4</v>
      </c>
      <c r="J59">
        <v>1.6049462242151365E-4</v>
      </c>
      <c r="K59">
        <v>3.6844133081574908E-2</v>
      </c>
      <c r="L59">
        <f t="shared" si="10"/>
        <v>0.96703761368963026</v>
      </c>
      <c r="M59">
        <v>3.997114423151424</v>
      </c>
      <c r="N59">
        <f t="shared" si="11"/>
        <v>0.9899414595248488</v>
      </c>
      <c r="Q59">
        <v>3.0000000000000001E-6</v>
      </c>
      <c r="R59">
        <v>3.6744693079884198E-2</v>
      </c>
      <c r="S59">
        <f t="shared" si="12"/>
        <v>-3.0000000000000001E-6</v>
      </c>
      <c r="T59">
        <f t="shared" si="13"/>
        <v>0.96442763989197389</v>
      </c>
      <c r="W59">
        <f t="shared" ref="W59:W98" si="16">$W$57+Q57</f>
        <v>1.1430009999999997</v>
      </c>
      <c r="X59">
        <f t="shared" si="8"/>
        <v>1.2821837851497708E-2</v>
      </c>
      <c r="Y59">
        <f t="shared" si="15"/>
        <v>0.9695401137128592</v>
      </c>
      <c r="Z59">
        <v>5</v>
      </c>
      <c r="AA59">
        <f t="shared" si="14"/>
        <v>28.96266183257282</v>
      </c>
      <c r="AB59">
        <v>0.95431555062431983</v>
      </c>
    </row>
    <row r="60" spans="6:50" x14ac:dyDescent="0.3">
      <c r="F60" t="s">
        <v>81</v>
      </c>
      <c r="G60" s="3">
        <f>AL53</f>
        <v>0</v>
      </c>
      <c r="I60">
        <f t="shared" si="9"/>
        <v>-2.7752959155718268E-4</v>
      </c>
      <c r="J60">
        <v>2.7752959155718268E-4</v>
      </c>
      <c r="K60">
        <v>3.671445172030563E-2</v>
      </c>
      <c r="L60">
        <f t="shared" si="10"/>
        <v>0.96363390342009536</v>
      </c>
      <c r="M60">
        <v>3.9952972951991974</v>
      </c>
      <c r="N60">
        <f t="shared" si="11"/>
        <v>0.98835610674563967</v>
      </c>
      <c r="Q60">
        <v>3.9999999999999998E-6</v>
      </c>
      <c r="R60">
        <v>3.6667226056296381E-2</v>
      </c>
      <c r="S60">
        <f t="shared" si="12"/>
        <v>-3.9999999999999998E-6</v>
      </c>
      <c r="T60">
        <f t="shared" si="13"/>
        <v>0.96239438467969518</v>
      </c>
      <c r="W60">
        <f t="shared" si="16"/>
        <v>1.1430019999999999</v>
      </c>
      <c r="X60">
        <f t="shared" si="8"/>
        <v>1.2820837851497568E-2</v>
      </c>
      <c r="Y60">
        <f t="shared" si="15"/>
        <v>0.96677342908074548</v>
      </c>
      <c r="Z60">
        <v>5</v>
      </c>
      <c r="AA60">
        <f t="shared" si="14"/>
        <v>28.962660832572819</v>
      </c>
      <c r="AB60">
        <v>0.94526523863597467</v>
      </c>
    </row>
    <row r="61" spans="6:50" x14ac:dyDescent="0.3">
      <c r="F61" t="s">
        <v>82</v>
      </c>
      <c r="G61" s="3">
        <f>G29/G46/(G31-G60)*(G11/G29-G60+0.2*(G31-G60))</f>
        <v>2.1215978636715009</v>
      </c>
      <c r="I61">
        <f t="shared" si="9"/>
        <v>-4.410790434224375E-4</v>
      </c>
      <c r="J61">
        <v>4.410790434224375E-4</v>
      </c>
      <c r="K61">
        <v>3.6557699268277656E-2</v>
      </c>
      <c r="L61">
        <f t="shared" si="10"/>
        <v>0.95951966583405934</v>
      </c>
      <c r="M61">
        <v>3.9929809487185519</v>
      </c>
      <c r="N61">
        <f t="shared" si="11"/>
        <v>0.98634255780409807</v>
      </c>
      <c r="Q61">
        <v>5.1350824756926343E-6</v>
      </c>
      <c r="R61">
        <v>3.6590080727945999E-2</v>
      </c>
      <c r="S61">
        <f t="shared" si="12"/>
        <v>-5.1350824756926343E-6</v>
      </c>
      <c r="T61">
        <f t="shared" si="13"/>
        <v>0.96036957291196856</v>
      </c>
      <c r="W61">
        <f t="shared" si="16"/>
        <v>1.1430029999999998</v>
      </c>
      <c r="X61">
        <f t="shared" si="8"/>
        <v>1.2819837851497651E-2</v>
      </c>
      <c r="Y61">
        <f t="shared" si="15"/>
        <v>0.96442763989197389</v>
      </c>
      <c r="Z61">
        <v>5</v>
      </c>
      <c r="AA61">
        <f t="shared" si="14"/>
        <v>28.962659832572818</v>
      </c>
      <c r="AB61">
        <v>0.93900304266325696</v>
      </c>
    </row>
    <row r="62" spans="6:50" x14ac:dyDescent="0.3">
      <c r="F62" t="s">
        <v>84</v>
      </c>
      <c r="G62" s="3">
        <f>AO53</f>
        <v>0</v>
      </c>
      <c r="I62">
        <f t="shared" si="9"/>
        <v>-6.7317588676798785E-4</v>
      </c>
      <c r="J62">
        <v>6.7317588676798785E-4</v>
      </c>
      <c r="K62">
        <v>3.6366030814675807E-2</v>
      </c>
      <c r="L62">
        <f t="shared" si="10"/>
        <v>0.95448899776051999</v>
      </c>
      <c r="M62">
        <v>3.9899780552445026</v>
      </c>
      <c r="N62">
        <f t="shared" si="11"/>
        <v>0.98374438871011127</v>
      </c>
      <c r="Q62">
        <v>6.3892601930977746E-6</v>
      </c>
      <c r="R62">
        <v>3.6514911924771916E-2</v>
      </c>
      <c r="S62">
        <f t="shared" si="12"/>
        <v>-6.3892601930977746E-6</v>
      </c>
      <c r="T62">
        <f t="shared" si="13"/>
        <v>0.95839663844545719</v>
      </c>
      <c r="W62">
        <f t="shared" si="16"/>
        <v>1.1430039999999997</v>
      </c>
      <c r="X62">
        <f t="shared" si="8"/>
        <v>1.2818837851497733E-2</v>
      </c>
      <c r="Y62">
        <f t="shared" si="15"/>
        <v>0.96239438467969518</v>
      </c>
      <c r="Z62">
        <v>5</v>
      </c>
      <c r="AA62">
        <f t="shared" si="14"/>
        <v>28.962658832572817</v>
      </c>
      <c r="AB62">
        <v>0.93408397023448453</v>
      </c>
    </row>
    <row r="63" spans="6:50" x14ac:dyDescent="0.3">
      <c r="I63">
        <f t="shared" si="9"/>
        <v>-1.0055726279766611E-3</v>
      </c>
      <c r="J63">
        <v>1.0055726279766611E-3</v>
      </c>
      <c r="K63">
        <v>3.6130647058963732E-2</v>
      </c>
      <c r="L63">
        <f t="shared" si="10"/>
        <v>0.94831094642949443</v>
      </c>
      <c r="M63">
        <v>3.9860450511701053</v>
      </c>
      <c r="N63">
        <f t="shared" si="11"/>
        <v>0.98036210040353322</v>
      </c>
      <c r="Q63">
        <v>7.7142049249988495E-6</v>
      </c>
      <c r="R63">
        <v>3.6444252060287827E-2</v>
      </c>
      <c r="S63">
        <f t="shared" si="12"/>
        <v>-7.7142049249988495E-6</v>
      </c>
      <c r="T63">
        <f t="shared" si="13"/>
        <v>0.95654204882645222</v>
      </c>
      <c r="W63">
        <f t="shared" si="16"/>
        <v>1.1430051350824755</v>
      </c>
      <c r="X63">
        <f t="shared" si="8"/>
        <v>1.2817702769021944E-2</v>
      </c>
      <c r="Y63">
        <f t="shared" si="15"/>
        <v>0.96036957291196856</v>
      </c>
      <c r="Z63">
        <v>5</v>
      </c>
      <c r="AA63">
        <f t="shared" si="14"/>
        <v>28.962657697490343</v>
      </c>
      <c r="AB63">
        <v>0.92997640409739935</v>
      </c>
    </row>
    <row r="64" spans="6:50" x14ac:dyDescent="0.3">
      <c r="F64" t="s">
        <v>97</v>
      </c>
      <c r="G64" s="3">
        <f>G14*G10*AL54</f>
        <v>0</v>
      </c>
      <c r="I64">
        <f t="shared" si="9"/>
        <v>-1.4868739866956504E-3</v>
      </c>
      <c r="J64">
        <v>1.4868739866956504E-3</v>
      </c>
      <c r="K64">
        <v>3.5839981093289314E-2</v>
      </c>
      <c r="L64">
        <f t="shared" si="10"/>
        <v>0.94068191845903726</v>
      </c>
      <c r="M64">
        <v>3.9808324071634318</v>
      </c>
      <c r="N64">
        <f t="shared" si="11"/>
        <v>0.97591502972069177</v>
      </c>
      <c r="Q64">
        <v>9.2117021047288094E-6</v>
      </c>
      <c r="R64">
        <v>3.6372724946672756E-2</v>
      </c>
      <c r="S64">
        <f t="shared" si="12"/>
        <v>-9.2117021047288094E-6</v>
      </c>
      <c r="T64">
        <f t="shared" si="13"/>
        <v>0.95466469676306465</v>
      </c>
      <c r="W64">
        <f t="shared" si="16"/>
        <v>1.1430063892601929</v>
      </c>
      <c r="X64">
        <f t="shared" si="8"/>
        <v>1.2816448591304486E-2</v>
      </c>
      <c r="Y64">
        <f t="shared" si="15"/>
        <v>0.95839663844545719</v>
      </c>
      <c r="Z64">
        <v>5</v>
      </c>
      <c r="AA64">
        <f t="shared" si="14"/>
        <v>28.962656443312625</v>
      </c>
      <c r="AB64">
        <v>0.92642012673556284</v>
      </c>
    </row>
    <row r="65" spans="1:28" x14ac:dyDescent="0.3">
      <c r="F65" t="s">
        <v>98</v>
      </c>
      <c r="G65" s="3">
        <f>G14*G43*G10*G31</f>
        <v>1.293311721730614</v>
      </c>
      <c r="I65">
        <f t="shared" si="9"/>
        <v>-2.1918100324627588E-3</v>
      </c>
      <c r="J65">
        <v>2.1918100324627588E-3</v>
      </c>
      <c r="K65">
        <v>3.5479273004973534E-2</v>
      </c>
      <c r="L65">
        <f t="shared" si="10"/>
        <v>0.93121451456623461</v>
      </c>
      <c r="M65">
        <v>3.9738413593287421</v>
      </c>
      <c r="N65">
        <f t="shared" si="11"/>
        <v>0.97001370386320063</v>
      </c>
      <c r="Q65">
        <v>1.0925875333318193E-5</v>
      </c>
      <c r="R65">
        <v>3.6299273894687401E-2</v>
      </c>
      <c r="S65">
        <f t="shared" si="12"/>
        <v>-1.0925875333318193E-5</v>
      </c>
      <c r="T65">
        <f t="shared" si="13"/>
        <v>0.95273684762959066</v>
      </c>
      <c r="W65">
        <f t="shared" si="16"/>
        <v>1.1430077142049249</v>
      </c>
      <c r="X65">
        <f t="shared" si="8"/>
        <v>1.2815123646572557E-2</v>
      </c>
      <c r="Y65">
        <f t="shared" si="15"/>
        <v>0.95654204882645222</v>
      </c>
      <c r="Z65">
        <v>5</v>
      </c>
      <c r="AA65">
        <f t="shared" si="14"/>
        <v>28.962655118367895</v>
      </c>
      <c r="AB65">
        <v>0.92266674638686008</v>
      </c>
    </row>
    <row r="66" spans="1:28" x14ac:dyDescent="0.3">
      <c r="F66" t="s">
        <v>99</v>
      </c>
      <c r="G66" s="6">
        <f>(G64+G65)*G46-G36</f>
        <v>-0.17667051210191875</v>
      </c>
      <c r="H66">
        <f>(G64+G65)*J32-G36</f>
        <v>0.51341348843965395</v>
      </c>
      <c r="I66">
        <f t="shared" si="9"/>
        <v>-3.2371060330814282E-3</v>
      </c>
      <c r="J66">
        <v>3.2371060330814282E-3</v>
      </c>
      <c r="K66">
        <v>3.5029648652820496E-2</v>
      </c>
      <c r="L66">
        <f t="shared" si="10"/>
        <v>0.91941335046772965</v>
      </c>
      <c r="M66">
        <v>3.9643511793464059</v>
      </c>
      <c r="N66">
        <f t="shared" si="11"/>
        <v>0.96211606571440467</v>
      </c>
      <c r="Q66">
        <v>1.2910957169585904E-5</v>
      </c>
      <c r="R66">
        <v>3.6222938622733063E-2</v>
      </c>
      <c r="S66">
        <f t="shared" si="12"/>
        <v>-1.2910957169585904E-5</v>
      </c>
      <c r="T66">
        <f t="shared" si="13"/>
        <v>0.95073329718459498</v>
      </c>
      <c r="W66">
        <f t="shared" si="16"/>
        <v>1.1430092117021045</v>
      </c>
      <c r="X66">
        <f t="shared" si="8"/>
        <v>1.2813626149392965E-2</v>
      </c>
      <c r="Y66">
        <f t="shared" si="15"/>
        <v>0.95466469676306465</v>
      </c>
      <c r="Z66">
        <v>5</v>
      </c>
      <c r="AA66">
        <f t="shared" si="14"/>
        <v>28.962653620870714</v>
      </c>
      <c r="AB66">
        <v>0.91859627482476058</v>
      </c>
    </row>
    <row r="67" spans="1:28" x14ac:dyDescent="0.3">
      <c r="F67" t="s">
        <v>100</v>
      </c>
      <c r="G67" s="3">
        <f>G12*G14</f>
        <v>1.1400918279693697</v>
      </c>
      <c r="I67">
        <f t="shared" si="9"/>
        <v>-4.8080078775929822E-3</v>
      </c>
      <c r="J67">
        <v>4.8080078775929822E-3</v>
      </c>
      <c r="K67">
        <v>3.4467144829405369E-2</v>
      </c>
      <c r="L67">
        <f t="shared" si="10"/>
        <v>0.90464947058806755</v>
      </c>
      <c r="M67">
        <v>3.9513100397373595</v>
      </c>
      <c r="N67">
        <f t="shared" si="11"/>
        <v>0.9514708141732684</v>
      </c>
      <c r="Q67">
        <v>1.5228336411243788E-5</v>
      </c>
      <c r="R67">
        <v>3.6143005211632225E-2</v>
      </c>
      <c r="S67">
        <f t="shared" si="12"/>
        <v>-1.5228336411243788E-5</v>
      </c>
      <c r="T67">
        <f t="shared" si="13"/>
        <v>0.94863530739192203</v>
      </c>
      <c r="W67">
        <f t="shared" si="16"/>
        <v>1.1430109258753332</v>
      </c>
      <c r="X67">
        <f t="shared" si="8"/>
        <v>1.281191197616427E-2</v>
      </c>
      <c r="Y67">
        <f t="shared" si="15"/>
        <v>0.95273684762959066</v>
      </c>
      <c r="Z67">
        <v>5</v>
      </c>
      <c r="AA67">
        <f t="shared" si="14"/>
        <v>28.962651906697484</v>
      </c>
      <c r="AB67">
        <v>0.91418936410388296</v>
      </c>
    </row>
    <row r="68" spans="1:28" x14ac:dyDescent="0.3">
      <c r="F68" t="s">
        <v>102</v>
      </c>
      <c r="G68" s="3">
        <f>G65*G46</f>
        <v>1.1018932365947423</v>
      </c>
      <c r="I68">
        <f t="shared" si="9"/>
        <v>-7.2041930843309192E-3</v>
      </c>
      <c r="J68">
        <v>7.2041930843309192E-3</v>
      </c>
      <c r="K68">
        <v>3.3761630297539223E-2</v>
      </c>
      <c r="L68">
        <f t="shared" si="10"/>
        <v>0.88613202880680386</v>
      </c>
      <c r="M68">
        <v>3.9331648324932571</v>
      </c>
      <c r="N68">
        <f t="shared" si="11"/>
        <v>0.93704516473821731</v>
      </c>
      <c r="Q68">
        <v>1.7951918728868181E-5</v>
      </c>
      <c r="R68">
        <v>3.6058828727572344E-2</v>
      </c>
      <c r="S68">
        <f t="shared" si="12"/>
        <v>-1.7951918728868181E-5</v>
      </c>
      <c r="T68">
        <f t="shared" si="13"/>
        <v>0.94642595085491732</v>
      </c>
      <c r="W68">
        <f t="shared" si="16"/>
        <v>1.1430129109571694</v>
      </c>
      <c r="X68">
        <f t="shared" si="8"/>
        <v>1.2809926894328028E-2</v>
      </c>
      <c r="Y68">
        <f t="shared" si="15"/>
        <v>0.95073329718459498</v>
      </c>
      <c r="Z68">
        <v>5</v>
      </c>
      <c r="AA68">
        <f t="shared" si="14"/>
        <v>28.96264992161565</v>
      </c>
      <c r="AB68">
        <v>0.90940513673670975</v>
      </c>
    </row>
    <row r="69" spans="1:28" x14ac:dyDescent="0.3">
      <c r="F69" t="s">
        <v>103</v>
      </c>
      <c r="G69" s="3">
        <f>G64*G46</f>
        <v>0</v>
      </c>
      <c r="J69">
        <v>1.0922126135770278E-2</v>
      </c>
      <c r="K69">
        <v>3.2875732289942672E-2</v>
      </c>
      <c r="L69">
        <f t="shared" si="10"/>
        <v>0.86288011259692066</v>
      </c>
      <c r="M69">
        <v>3.9075888119410833</v>
      </c>
      <c r="Q69">
        <v>2.1172068046455691E-5</v>
      </c>
      <c r="R69">
        <v>3.5969786691695295E-2</v>
      </c>
      <c r="S69">
        <f t="shared" si="12"/>
        <v>-2.1172068046455691E-5</v>
      </c>
      <c r="T69">
        <f t="shared" si="13"/>
        <v>0.94408888954580839</v>
      </c>
      <c r="W69">
        <f t="shared" si="16"/>
        <v>1.143015228336411</v>
      </c>
      <c r="X69">
        <f t="shared" si="8"/>
        <v>1.2807609515086416E-2</v>
      </c>
      <c r="Y69">
        <f t="shared" si="15"/>
        <v>0.94863530739192203</v>
      </c>
      <c r="Z69">
        <v>5</v>
      </c>
      <c r="AA69">
        <f t="shared" si="14"/>
        <v>28.962647604236409</v>
      </c>
      <c r="AB69">
        <v>0.90420069923335833</v>
      </c>
    </row>
    <row r="70" spans="1:28" x14ac:dyDescent="0.3">
      <c r="F70" t="s">
        <v>43</v>
      </c>
      <c r="G70" s="3">
        <f>G36</f>
        <v>1.278563748696661</v>
      </c>
      <c r="J70">
        <v>1.6810756424877372E-2</v>
      </c>
      <c r="K70">
        <v>3.1763806676636162E-2</v>
      </c>
      <c r="L70">
        <f t="shared" si="10"/>
        <v>0.83369571329753722</v>
      </c>
      <c r="M70">
        <v>3.8710235942535105</v>
      </c>
      <c r="Q70">
        <v>2.5000552145001098E-5</v>
      </c>
      <c r="R70">
        <v>3.5875246780855012E-2</v>
      </c>
      <c r="S70">
        <f>Q70*-1</f>
        <v>-2.5000552145001098E-5</v>
      </c>
      <c r="T70">
        <f t="shared" si="13"/>
        <v>0.94160752705656214</v>
      </c>
      <c r="W70">
        <f t="shared" si="16"/>
        <v>1.1430179519187287</v>
      </c>
      <c r="X70">
        <f t="shared" si="8"/>
        <v>1.2804885932768739E-2</v>
      </c>
      <c r="Y70">
        <f t="shared" si="15"/>
        <v>0.94642595085491732</v>
      </c>
      <c r="Z70">
        <v>5</v>
      </c>
      <c r="AA70">
        <f t="shared" si="14"/>
        <v>28.962644880654089</v>
      </c>
      <c r="AB70">
        <v>0.89852690215880404</v>
      </c>
    </row>
    <row r="71" spans="1:28" x14ac:dyDescent="0.3">
      <c r="G71" s="3"/>
      <c r="J71">
        <v>2.6389556078151164E-2</v>
      </c>
      <c r="K71">
        <v>3.0370620891024186E-2</v>
      </c>
      <c r="L71">
        <f t="shared" si="10"/>
        <v>0.79712915724472944</v>
      </c>
      <c r="M71">
        <v>3.8178441097732581</v>
      </c>
      <c r="Q71">
        <v>2.9576730206673498E-5</v>
      </c>
      <c r="R71">
        <v>3.5774546151427472E-2</v>
      </c>
      <c r="S71">
        <f t="shared" ref="S71:S96" si="17">Q71*-1</f>
        <v>-2.9576730206673498E-5</v>
      </c>
      <c r="T71">
        <f t="shared" si="13"/>
        <v>0.93896446591673166</v>
      </c>
      <c r="W71">
        <f t="shared" si="16"/>
        <v>1.1430211720680463</v>
      </c>
      <c r="X71">
        <f t="shared" si="8"/>
        <v>1.2801665783451099E-2</v>
      </c>
      <c r="Y71">
        <f t="shared" si="15"/>
        <v>0.94408888954580839</v>
      </c>
      <c r="Z71">
        <v>5</v>
      </c>
      <c r="AA71">
        <f t="shared" si="14"/>
        <v>28.962641660504772</v>
      </c>
      <c r="AB71">
        <v>0.8923280452550667</v>
      </c>
    </row>
    <row r="72" spans="1:28" x14ac:dyDescent="0.3">
      <c r="F72" t="s">
        <v>104</v>
      </c>
      <c r="G72" s="3">
        <f>AO54</f>
        <v>0</v>
      </c>
      <c r="J72">
        <v>4.257962352567897E-2</v>
      </c>
      <c r="K72">
        <v>2.8627870026677334E-2</v>
      </c>
      <c r="L72">
        <f t="shared" si="10"/>
        <v>0.75138766474218732</v>
      </c>
      <c r="M72">
        <v>3.7386280740831301</v>
      </c>
      <c r="Q72">
        <v>3.5075555527209017E-5</v>
      </c>
      <c r="R72">
        <v>3.5666975267922986E-2</v>
      </c>
      <c r="S72">
        <f t="shared" si="17"/>
        <v>-3.5075555527209017E-5</v>
      </c>
      <c r="T72">
        <f t="shared" si="13"/>
        <v>0.93614108314758504</v>
      </c>
      <c r="W72">
        <f t="shared" si="16"/>
        <v>1.1430250005521447</v>
      </c>
      <c r="X72">
        <f t="shared" si="8"/>
        <v>1.2797837299352688E-2</v>
      </c>
      <c r="Y72">
        <f t="shared" si="15"/>
        <v>0.94160752705656214</v>
      </c>
      <c r="Z72">
        <v>5</v>
      </c>
      <c r="AA72">
        <f t="shared" si="14"/>
        <v>28.962637832020675</v>
      </c>
      <c r="AB72">
        <v>0.88554071237913856</v>
      </c>
    </row>
    <row r="73" spans="1:28" x14ac:dyDescent="0.3">
      <c r="F73" t="s">
        <v>105</v>
      </c>
      <c r="G73" s="3">
        <f>G72*G10*G14/G35</f>
        <v>0</v>
      </c>
      <c r="J73">
        <v>7.1716349755843761E-2</v>
      </c>
      <c r="K73">
        <v>2.6441496680868679E-2</v>
      </c>
      <c r="L73">
        <f t="shared" si="10"/>
        <v>0.69400253755560848</v>
      </c>
      <c r="M73">
        <v>3.6158461124631236</v>
      </c>
      <c r="Q73">
        <v>4.1718062522029962E-5</v>
      </c>
      <c r="R73">
        <v>3.5551763694932598E-2</v>
      </c>
      <c r="S73">
        <f t="shared" si="17"/>
        <v>-4.1718062522029962E-5</v>
      </c>
      <c r="T73">
        <f t="shared" si="13"/>
        <v>0.93311715734731238</v>
      </c>
      <c r="W73">
        <f t="shared" si="16"/>
        <v>1.1430295767302066</v>
      </c>
      <c r="X73">
        <f t="shared" si="8"/>
        <v>1.2793261121290866E-2</v>
      </c>
      <c r="Y73">
        <f t="shared" si="15"/>
        <v>0.93896446591673166</v>
      </c>
      <c r="Z73">
        <v>5</v>
      </c>
      <c r="AA73">
        <f t="shared" si="14"/>
        <v>28.962633255842611</v>
      </c>
      <c r="AB73">
        <v>0.8813042663320827</v>
      </c>
    </row>
    <row r="74" spans="1:28" x14ac:dyDescent="0.3">
      <c r="A74">
        <f>A79/G9</f>
        <v>3.7035866666666672</v>
      </c>
      <c r="F74" t="s">
        <v>106</v>
      </c>
      <c r="G74" s="3">
        <f>G29*G10*G14*G31*G43/G35</f>
        <v>1.0084368620260873</v>
      </c>
      <c r="J74">
        <v>0.13028661488780185</v>
      </c>
      <c r="K74">
        <v>2.3666582022731256E-2</v>
      </c>
      <c r="L74">
        <f t="shared" si="10"/>
        <v>0.62117013183021674</v>
      </c>
      <c r="M74">
        <v>3.4119294997564245</v>
      </c>
      <c r="Q74">
        <v>4.9785246715277729E-5</v>
      </c>
      <c r="R74">
        <v>3.5428066325801151E-2</v>
      </c>
      <c r="S74">
        <f t="shared" si="17"/>
        <v>-4.9785246715277729E-5</v>
      </c>
      <c r="T74">
        <f t="shared" si="13"/>
        <v>0.92987050723887543</v>
      </c>
      <c r="W74">
        <f t="shared" si="16"/>
        <v>1.143035075555527</v>
      </c>
      <c r="X74">
        <f t="shared" si="8"/>
        <v>1.2787762295970451E-2</v>
      </c>
      <c r="Y74">
        <f t="shared" si="15"/>
        <v>0.93614108314758504</v>
      </c>
      <c r="Z74">
        <v>5</v>
      </c>
      <c r="AA74">
        <f t="shared" si="14"/>
        <v>28.962627757017291</v>
      </c>
      <c r="AB74">
        <v>0.87271763611255715</v>
      </c>
    </row>
    <row r="75" spans="1:28" x14ac:dyDescent="0.3">
      <c r="G75" s="6">
        <f>(G74+G73)*G46</f>
        <v>0.85918169543260525</v>
      </c>
      <c r="J75">
        <v>0.23770814526266984</v>
      </c>
      <c r="K75">
        <v>2.0769623589971052E-2</v>
      </c>
      <c r="L75">
        <f t="shared" si="10"/>
        <v>0.54513447742706178</v>
      </c>
      <c r="M75">
        <v>3.1179832486524557</v>
      </c>
      <c r="Q75">
        <v>5.9636590469185383E-5</v>
      </c>
      <c r="R75">
        <v>3.5294949109313085E-2</v>
      </c>
      <c r="S75">
        <f t="shared" si="17"/>
        <v>-5.9636590469185383E-5</v>
      </c>
      <c r="T75">
        <f t="shared" si="13"/>
        <v>0.92637661704233831</v>
      </c>
      <c r="W75">
        <f t="shared" si="16"/>
        <v>1.1430417180625219</v>
      </c>
      <c r="X75">
        <f t="shared" si="8"/>
        <v>1.2781119788975559E-2</v>
      </c>
      <c r="Y75">
        <f t="shared" si="15"/>
        <v>0.93311715734731238</v>
      </c>
      <c r="Z75">
        <v>5</v>
      </c>
      <c r="AA75">
        <f t="shared" si="14"/>
        <v>28.962621114510295</v>
      </c>
      <c r="AB75">
        <v>0.86503915102175011</v>
      </c>
    </row>
    <row r="76" spans="1:28" x14ac:dyDescent="0.3">
      <c r="A76" t="s">
        <v>101</v>
      </c>
      <c r="B76" t="s">
        <v>100</v>
      </c>
      <c r="C76" t="s">
        <v>99</v>
      </c>
      <c r="J76">
        <v>0.35686639433643669</v>
      </c>
      <c r="K76">
        <v>1.8877411365226523E-2</v>
      </c>
      <c r="L76">
        <f t="shared" si="10"/>
        <v>0.49547011457287465</v>
      </c>
      <c r="M76">
        <v>2.8608782875111576</v>
      </c>
      <c r="Q76">
        <v>7.1734988740474614E-5</v>
      </c>
      <c r="R76">
        <v>3.5151373591660692E-2</v>
      </c>
      <c r="S76">
        <f t="shared" si="17"/>
        <v>-7.1734988740474614E-5</v>
      </c>
      <c r="T76">
        <f t="shared" si="13"/>
        <v>0.92260823075224929</v>
      </c>
      <c r="W76">
        <f t="shared" si="16"/>
        <v>1.143049785246715</v>
      </c>
      <c r="X76">
        <f t="shared" si="8"/>
        <v>1.2773052604782453E-2</v>
      </c>
      <c r="Y76">
        <f t="shared" si="15"/>
        <v>0.92987050723887543</v>
      </c>
      <c r="Z76">
        <v>5</v>
      </c>
      <c r="AA76">
        <f t="shared" si="14"/>
        <v>28.962613047326105</v>
      </c>
      <c r="AB76">
        <v>0.8552394874830842</v>
      </c>
    </row>
    <row r="77" spans="1:28" x14ac:dyDescent="0.3">
      <c r="A77">
        <v>0.76200000000000001</v>
      </c>
      <c r="B77">
        <f>G67</f>
        <v>1.1400918279693697</v>
      </c>
      <c r="C77" s="3">
        <v>1.5216562088883783</v>
      </c>
      <c r="G77" s="3"/>
      <c r="J77">
        <v>0.38072599890021319</v>
      </c>
      <c r="K77">
        <v>1.8587250704760864E-2</v>
      </c>
      <c r="L77">
        <f t="shared" si="10"/>
        <v>0.48785434920632192</v>
      </c>
      <c r="M77">
        <v>2.8154754227429164</v>
      </c>
      <c r="Q77">
        <v>8.6680558725514385E-5</v>
      </c>
      <c r="R77">
        <v>3.4996179702389531E-2</v>
      </c>
      <c r="S77">
        <f t="shared" si="17"/>
        <v>-8.6680558725514385E-5</v>
      </c>
      <c r="T77">
        <f t="shared" si="13"/>
        <v>0.9185349003251847</v>
      </c>
      <c r="W77">
        <f t="shared" si="16"/>
        <v>1.1430596365904691</v>
      </c>
      <c r="X77">
        <f t="shared" si="8"/>
        <v>1.2763201261028367E-2</v>
      </c>
      <c r="Y77">
        <f t="shared" si="15"/>
        <v>0.92637661704233831</v>
      </c>
      <c r="Z77">
        <v>5</v>
      </c>
      <c r="AA77">
        <f t="shared" si="14"/>
        <v>28.96260319598235</v>
      </c>
      <c r="AB77">
        <v>0.84473316333568194</v>
      </c>
    </row>
    <row r="78" spans="1:28" x14ac:dyDescent="0.3">
      <c r="A78">
        <v>0.38100000000000001</v>
      </c>
      <c r="B78">
        <v>1.0134149581949954</v>
      </c>
      <c r="C78">
        <v>1.2097885985625885</v>
      </c>
      <c r="G78" s="3"/>
      <c r="J78">
        <v>0.38486776088167335</v>
      </c>
      <c r="K78">
        <v>1.8539112028307173E-2</v>
      </c>
      <c r="L78">
        <f t="shared" si="10"/>
        <v>0.48659086688470277</v>
      </c>
      <c r="M78">
        <v>2.8077679950998919</v>
      </c>
      <c r="Q78">
        <v>1.052568860882859E-4</v>
      </c>
      <c r="R78">
        <v>3.4828066248673434E-2</v>
      </c>
      <c r="S78">
        <f t="shared" si="17"/>
        <v>-1.052568860882859E-4</v>
      </c>
      <c r="T78">
        <f t="shared" si="13"/>
        <v>0.914122473718463</v>
      </c>
      <c r="W78">
        <f t="shared" si="16"/>
        <v>1.1430717349887403</v>
      </c>
      <c r="X78">
        <f t="shared" si="8"/>
        <v>1.2751102862757158E-2</v>
      </c>
      <c r="Y78">
        <f t="shared" si="15"/>
        <v>0.92260823075224929</v>
      </c>
      <c r="Z78">
        <v>5</v>
      </c>
      <c r="AA78">
        <f t="shared" si="14"/>
        <v>28.962591097584077</v>
      </c>
      <c r="AB78">
        <v>0.83299431723518536</v>
      </c>
    </row>
    <row r="79" spans="1:28" x14ac:dyDescent="0.3">
      <c r="A79">
        <v>0.141106652</v>
      </c>
      <c r="B79">
        <v>1.0134149581949954</v>
      </c>
      <c r="C79">
        <v>1.0098189476467287</v>
      </c>
      <c r="G79" s="3"/>
      <c r="J79">
        <v>0.38589892813757853</v>
      </c>
      <c r="K79">
        <v>1.8527224440007619E-2</v>
      </c>
      <c r="L79">
        <f t="shared" si="10"/>
        <v>0.48627885669311344</v>
      </c>
      <c r="M79">
        <v>2.8058568562508261</v>
      </c>
      <c r="Q79">
        <v>1.2849484182565342E-4</v>
      </c>
      <c r="R79">
        <v>3.4645568569804566E-2</v>
      </c>
      <c r="S79">
        <f t="shared" si="17"/>
        <v>-1.2849484182565342E-4</v>
      </c>
      <c r="T79">
        <f t="shared" si="13"/>
        <v>0.90933250839382074</v>
      </c>
      <c r="W79">
        <f t="shared" si="16"/>
        <v>1.1430866805587252</v>
      </c>
      <c r="X79">
        <f t="shared" si="8"/>
        <v>1.2736157292772221E-2</v>
      </c>
      <c r="Y79">
        <f t="shared" si="15"/>
        <v>0.9185349003251847</v>
      </c>
      <c r="Z79">
        <v>5</v>
      </c>
      <c r="AA79">
        <f t="shared" si="14"/>
        <v>28.962576152014094</v>
      </c>
      <c r="AB79">
        <v>0.81997680259060624</v>
      </c>
    </row>
    <row r="80" spans="1:28" x14ac:dyDescent="0.3">
      <c r="A80" s="4">
        <f>(B79-0.8921956)/ 0.8335773</f>
        <v>0.14542065648260266</v>
      </c>
      <c r="B80">
        <v>1.0134149581949954</v>
      </c>
      <c r="C80">
        <v>1.0134348545569334</v>
      </c>
      <c r="G80" s="3"/>
      <c r="J80">
        <v>0.38592399567793961</v>
      </c>
      <c r="K80">
        <v>1.8526935933501704E-2</v>
      </c>
      <c r="L80">
        <f t="shared" si="10"/>
        <v>0.48627128434387684</v>
      </c>
      <c r="M80">
        <v>2.8058104350619608</v>
      </c>
      <c r="Q80">
        <v>1.5776146839583757E-4</v>
      </c>
      <c r="R80">
        <v>3.4447032763657459E-2</v>
      </c>
      <c r="S80">
        <f t="shared" si="17"/>
        <v>-1.5776146839583757E-4</v>
      </c>
      <c r="T80">
        <f t="shared" si="13"/>
        <v>0.90412159484665255</v>
      </c>
      <c r="W80">
        <f t="shared" si="16"/>
        <v>1.143105256886088</v>
      </c>
      <c r="X80">
        <f t="shared" si="8"/>
        <v>1.2717580965409425E-2</v>
      </c>
      <c r="Y80">
        <f t="shared" si="15"/>
        <v>0.914122473718463</v>
      </c>
      <c r="Z80">
        <v>5</v>
      </c>
      <c r="AA80">
        <f t="shared" si="14"/>
        <v>28.962557575686731</v>
      </c>
      <c r="AB80">
        <v>0.80547458016927453</v>
      </c>
    </row>
    <row r="81" spans="7:28" x14ac:dyDescent="0.3">
      <c r="G81" s="3"/>
      <c r="J81">
        <v>0.38593399567793962</v>
      </c>
      <c r="K81">
        <v>1.8526844700753296E-2</v>
      </c>
      <c r="L81">
        <f t="shared" si="10"/>
        <v>0.48626888978355115</v>
      </c>
      <c r="M81">
        <v>2.8057957551752337</v>
      </c>
      <c r="Q81">
        <v>1.9488501093427245E-4</v>
      </c>
      <c r="R81">
        <v>3.4230585838706709E-2</v>
      </c>
      <c r="S81">
        <f t="shared" si="17"/>
        <v>-1.9488501093427245E-4</v>
      </c>
      <c r="T81">
        <f t="shared" si="13"/>
        <v>0.89844057319440196</v>
      </c>
      <c r="W81">
        <f t="shared" si="16"/>
        <v>1.1431284948418254</v>
      </c>
      <c r="X81">
        <f t="shared" si="8"/>
        <v>1.2694343009671982E-2</v>
      </c>
      <c r="Y81">
        <f t="shared" si="15"/>
        <v>0.90933250839382074</v>
      </c>
      <c r="Z81">
        <v>5</v>
      </c>
      <c r="AA81">
        <f t="shared" si="14"/>
        <v>28.962534337730993</v>
      </c>
      <c r="AB81">
        <v>0.7893006424971396</v>
      </c>
    </row>
    <row r="82" spans="7:28" x14ac:dyDescent="0.3">
      <c r="J82">
        <v>0.38594399567793963</v>
      </c>
      <c r="K82">
        <v>1.8526756676747681E-2</v>
      </c>
      <c r="L82">
        <f t="shared" si="10"/>
        <v>0.48626657944219642</v>
      </c>
      <c r="M82">
        <v>2.8057815914201827</v>
      </c>
      <c r="Q82">
        <v>2.4233264874257059E-4</v>
      </c>
      <c r="R82">
        <v>3.3994101078961197E-2</v>
      </c>
      <c r="S82">
        <f t="shared" si="17"/>
        <v>-2.4233264874257059E-4</v>
      </c>
      <c r="T82">
        <f t="shared" si="13"/>
        <v>0.89223362411971663</v>
      </c>
      <c r="W82">
        <f t="shared" si="16"/>
        <v>1.1431577614683957</v>
      </c>
      <c r="X82">
        <f t="shared" si="8"/>
        <v>1.266507638310177E-2</v>
      </c>
      <c r="Y82">
        <f t="shared" si="15"/>
        <v>0.90412159484665255</v>
      </c>
      <c r="Z82">
        <v>5</v>
      </c>
      <c r="AA82">
        <f t="shared" si="14"/>
        <v>28.962505071104424</v>
      </c>
      <c r="AB82">
        <v>0.77123212562617249</v>
      </c>
    </row>
    <row r="83" spans="7:28" x14ac:dyDescent="0.3">
      <c r="J83">
        <v>0.41162768886825335</v>
      </c>
      <c r="K83">
        <v>1.8305638649532049E-2</v>
      </c>
      <c r="L83">
        <f t="shared" si="10"/>
        <v>0.48046295668063127</v>
      </c>
      <c r="M83">
        <v>2.7696552829300987</v>
      </c>
      <c r="Q83">
        <v>3.0346598806699985E-4</v>
      </c>
      <c r="R83">
        <v>3.373515784388266E-2</v>
      </c>
      <c r="S83">
        <f t="shared" si="17"/>
        <v>-3.0346598806699985E-4</v>
      </c>
      <c r="T83">
        <f t="shared" si="13"/>
        <v>0.88543721375020112</v>
      </c>
      <c r="W83">
        <f t="shared" si="16"/>
        <v>1.1431948850109341</v>
      </c>
      <c r="X83">
        <f t="shared" si="8"/>
        <v>1.2627952840563283E-2</v>
      </c>
      <c r="Y83">
        <f t="shared" si="15"/>
        <v>0.89844057319440196</v>
      </c>
      <c r="Z83">
        <v>5</v>
      </c>
      <c r="AA83">
        <f t="shared" si="14"/>
        <v>28.962467947561883</v>
      </c>
      <c r="AB83">
        <v>0.75103257945464996</v>
      </c>
    </row>
    <row r="84" spans="7:28" x14ac:dyDescent="0.3">
      <c r="J84">
        <v>0.98235182907319807</v>
      </c>
      <c r="K84">
        <v>1.505649350786121E-2</v>
      </c>
      <c r="L84">
        <f t="shared" si="10"/>
        <v>0.39518355663677723</v>
      </c>
      <c r="M84">
        <v>2.078611938159713</v>
      </c>
      <c r="N84" s="2"/>
      <c r="Q84">
        <v>3.4694363153330357E-4</v>
      </c>
      <c r="R84">
        <v>3.3573632776191492E-2</v>
      </c>
      <c r="S84">
        <f t="shared" si="17"/>
        <v>-3.4694363153330357E-4</v>
      </c>
      <c r="T84">
        <f t="shared" si="13"/>
        <v>0.88119771066119412</v>
      </c>
      <c r="W84">
        <f t="shared" si="16"/>
        <v>1.1432423326487424</v>
      </c>
      <c r="X84">
        <f t="shared" si="8"/>
        <v>1.2580505202754999E-2</v>
      </c>
      <c r="Y84">
        <f t="shared" si="15"/>
        <v>0.89223362411971663</v>
      </c>
      <c r="Z84">
        <v>5</v>
      </c>
      <c r="AA84">
        <f t="shared" si="14"/>
        <v>28.962420499924075</v>
      </c>
      <c r="AB84">
        <v>0.72845568886957368</v>
      </c>
    </row>
    <row r="85" spans="7:28" x14ac:dyDescent="0.3">
      <c r="J85">
        <v>2.0489352221480406</v>
      </c>
      <c r="K85">
        <v>1.2514224900403603E-2</v>
      </c>
      <c r="L85">
        <f t="shared" si="10"/>
        <v>0.32845734646728619</v>
      </c>
      <c r="M85">
        <v>1.2080888454622669</v>
      </c>
      <c r="N85" s="2"/>
      <c r="Q85">
        <v>4.4915323921639473E-4</v>
      </c>
      <c r="R85">
        <v>3.3245996994660458E-2</v>
      </c>
      <c r="S85">
        <f t="shared" si="17"/>
        <v>-4.4915323921639473E-4</v>
      </c>
      <c r="T85">
        <f t="shared" si="13"/>
        <v>0.87259834631654754</v>
      </c>
      <c r="W85">
        <f t="shared" si="16"/>
        <v>1.1433034659880668</v>
      </c>
      <c r="X85">
        <f t="shared" si="8"/>
        <v>1.2519371863430662E-2</v>
      </c>
      <c r="Y85">
        <f t="shared" si="15"/>
        <v>0.88543721375020112</v>
      </c>
      <c r="Z85">
        <v>5</v>
      </c>
      <c r="AA85">
        <f t="shared" si="14"/>
        <v>28.962359366584753</v>
      </c>
      <c r="AB85">
        <v>0.70327127069389761</v>
      </c>
    </row>
    <row r="86" spans="7:28" x14ac:dyDescent="0.3">
      <c r="J86">
        <v>3.8382042229827338</v>
      </c>
      <c r="K86">
        <v>1.1065325060707863E-2</v>
      </c>
      <c r="L86">
        <f t="shared" si="10"/>
        <v>0.29042847928367099</v>
      </c>
      <c r="M86">
        <v>0.48044301870198503</v>
      </c>
      <c r="N86" s="2"/>
      <c r="Q86">
        <v>5.5821204660570594E-4</v>
      </c>
      <c r="R86">
        <v>3.2953060779548897E-2</v>
      </c>
      <c r="S86">
        <f t="shared" si="17"/>
        <v>-5.5821204660570594E-4</v>
      </c>
      <c r="T86">
        <f t="shared" si="13"/>
        <v>0.86490973174669028</v>
      </c>
      <c r="W86">
        <f t="shared" si="16"/>
        <v>1.1433469436315331</v>
      </c>
      <c r="X86">
        <f t="shared" si="8"/>
        <v>1.2475894219964312E-2</v>
      </c>
      <c r="Y86">
        <f t="shared" si="15"/>
        <v>0.88119771066119412</v>
      </c>
      <c r="Z86">
        <v>5</v>
      </c>
      <c r="AA86">
        <f t="shared" si="14"/>
        <v>28.962315888941284</v>
      </c>
      <c r="AB86">
        <v>0.67530676092515485</v>
      </c>
    </row>
    <row r="87" spans="7:28" x14ac:dyDescent="0.3">
      <c r="J87">
        <v>4.8781325665145641</v>
      </c>
      <c r="K87">
        <v>1.0726125245125019E-2</v>
      </c>
      <c r="L87">
        <f t="shared" si="10"/>
        <v>0.28152559698490864</v>
      </c>
      <c r="M87">
        <v>0.27420586813608683</v>
      </c>
      <c r="N87" s="2"/>
      <c r="Q87">
        <v>7.2503562615107485E-4</v>
      </c>
      <c r="R87">
        <v>3.2579147805590659E-2</v>
      </c>
      <c r="S87">
        <f t="shared" si="17"/>
        <v>-7.2503562615107485E-4</v>
      </c>
      <c r="T87">
        <f t="shared" si="13"/>
        <v>0.85509574292888879</v>
      </c>
      <c r="W87">
        <f t="shared" si="16"/>
        <v>1.1434491532392161</v>
      </c>
      <c r="X87">
        <f t="shared" si="8"/>
        <v>1.2373684612281277E-2</v>
      </c>
      <c r="Y87">
        <f t="shared" si="15"/>
        <v>0.87259834631654754</v>
      </c>
      <c r="Z87">
        <v>5</v>
      </c>
      <c r="AA87">
        <f t="shared" si="14"/>
        <v>28.962213679333601</v>
      </c>
      <c r="AB87">
        <v>0.64451521279243373</v>
      </c>
    </row>
    <row r="88" spans="7:28" x14ac:dyDescent="0.3">
      <c r="N88" s="2"/>
      <c r="Q88">
        <v>9.4328060884066626E-4</v>
      </c>
      <c r="R88">
        <v>3.2178278105889579E-2</v>
      </c>
      <c r="S88">
        <f t="shared" si="17"/>
        <v>-9.4328060884066626E-4</v>
      </c>
      <c r="T88">
        <f t="shared" si="13"/>
        <v>0.84457422850103891</v>
      </c>
      <c r="W88">
        <f t="shared" si="16"/>
        <v>1.1435582120466055</v>
      </c>
      <c r="X88">
        <f t="shared" si="8"/>
        <v>1.226462580489196E-2</v>
      </c>
      <c r="Y88">
        <f t="shared" si="15"/>
        <v>0.86490973174669028</v>
      </c>
      <c r="Z88">
        <v>5</v>
      </c>
      <c r="AA88">
        <f t="shared" si="14"/>
        <v>28.962104620526212</v>
      </c>
      <c r="AB88">
        <v>0.61105478378177158</v>
      </c>
    </row>
    <row r="89" spans="7:28" x14ac:dyDescent="0.3">
      <c r="N89" s="2"/>
      <c r="Q89">
        <v>1.2431746503259082E-3</v>
      </c>
      <c r="R89">
        <v>3.1730358697191277E-2</v>
      </c>
      <c r="S89">
        <f t="shared" si="17"/>
        <v>-1.2431746503259082E-3</v>
      </c>
      <c r="T89">
        <f t="shared" si="13"/>
        <v>0.83281781357457429</v>
      </c>
      <c r="W89">
        <f t="shared" si="16"/>
        <v>1.1437250356261508</v>
      </c>
      <c r="X89">
        <f t="shared" si="8"/>
        <v>1.2097802225346621E-2</v>
      </c>
      <c r="Y89">
        <f t="shared" si="15"/>
        <v>0.85509574292888879</v>
      </c>
      <c r="Z89">
        <v>5</v>
      </c>
      <c r="AA89">
        <f t="shared" si="14"/>
        <v>28.961937796946668</v>
      </c>
      <c r="AB89">
        <v>0.57534669570155927</v>
      </c>
    </row>
    <row r="90" spans="7:28" x14ac:dyDescent="0.3">
      <c r="N90" s="2"/>
      <c r="Q90">
        <v>1.6569202129188751E-3</v>
      </c>
      <c r="R90">
        <v>3.1233637463016942E-2</v>
      </c>
      <c r="S90">
        <f t="shared" si="17"/>
        <v>-1.6569202129188751E-3</v>
      </c>
      <c r="T90">
        <f t="shared" si="13"/>
        <v>0.81978051084033976</v>
      </c>
      <c r="W90">
        <f t="shared" si="16"/>
        <v>1.1439432806088405</v>
      </c>
      <c r="X90">
        <f t="shared" si="8"/>
        <v>1.187955724265688E-2</v>
      </c>
      <c r="Y90">
        <f t="shared" si="15"/>
        <v>0.84457422850103891</v>
      </c>
      <c r="Z90">
        <v>5</v>
      </c>
      <c r="AA90">
        <f t="shared" si="14"/>
        <v>28.961719551963977</v>
      </c>
      <c r="AB90">
        <v>0.53807598563900061</v>
      </c>
    </row>
    <row r="91" spans="7:28" x14ac:dyDescent="0.3">
      <c r="N91" s="2"/>
      <c r="Q91">
        <v>2.2374579495174087E-3</v>
      </c>
      <c r="R91">
        <v>3.068024594703701E-2</v>
      </c>
      <c r="S91">
        <f t="shared" si="17"/>
        <v>-2.2374579495174087E-3</v>
      </c>
      <c r="T91">
        <f t="shared" si="13"/>
        <v>0.80525579913482981</v>
      </c>
      <c r="W91">
        <f t="shared" si="16"/>
        <v>1.1442431746503257</v>
      </c>
      <c r="X91">
        <f t="shared" si="8"/>
        <v>1.1579663201171764E-2</v>
      </c>
      <c r="Y91">
        <f t="shared" si="15"/>
        <v>0.83281781357457429</v>
      </c>
      <c r="Z91">
        <v>5</v>
      </c>
      <c r="AA91">
        <f t="shared" si="14"/>
        <v>28.961419657922491</v>
      </c>
      <c r="AB91">
        <v>0.50014041541987242</v>
      </c>
    </row>
    <row r="92" spans="7:28" x14ac:dyDescent="0.3">
      <c r="N92" s="2"/>
      <c r="Q92">
        <v>3.0644421172293036E-3</v>
      </c>
      <c r="R92">
        <v>3.0063049273402861E-2</v>
      </c>
      <c r="S92">
        <f t="shared" si="17"/>
        <v>-3.0644421172293036E-3</v>
      </c>
      <c r="T92">
        <f t="shared" si="13"/>
        <v>0.78905641137540328</v>
      </c>
      <c r="W92">
        <f t="shared" si="16"/>
        <v>1.1446569202129186</v>
      </c>
      <c r="X92">
        <f t="shared" si="8"/>
        <v>1.1165917638578771E-2</v>
      </c>
      <c r="Y92">
        <f t="shared" si="15"/>
        <v>0.81978051084033976</v>
      </c>
      <c r="Z92">
        <v>5</v>
      </c>
      <c r="AA92">
        <f t="shared" si="14"/>
        <v>28.961005912359902</v>
      </c>
      <c r="AB92">
        <v>0.48980530792201532</v>
      </c>
    </row>
    <row r="93" spans="7:28" x14ac:dyDescent="0.3">
      <c r="N93" s="2"/>
      <c r="Q93">
        <v>4.2633609962013088E-3</v>
      </c>
      <c r="R93">
        <v>2.9373543735124859E-2</v>
      </c>
      <c r="S93">
        <f t="shared" si="17"/>
        <v>-4.2633609962013088E-3</v>
      </c>
      <c r="T93">
        <f t="shared" si="13"/>
        <v>0.77095915315288355</v>
      </c>
      <c r="W93">
        <f t="shared" si="16"/>
        <v>1.1452374579495173</v>
      </c>
      <c r="X93">
        <f t="shared" si="8"/>
        <v>1.0585379901980163E-2</v>
      </c>
      <c r="Y93">
        <f t="shared" si="15"/>
        <v>0.80525579913482981</v>
      </c>
      <c r="Z93">
        <v>5</v>
      </c>
      <c r="AA93">
        <f t="shared" si="14"/>
        <v>28.960425374623302</v>
      </c>
      <c r="AB93">
        <v>0.47952536606680624</v>
      </c>
    </row>
    <row r="94" spans="7:28" x14ac:dyDescent="0.3">
      <c r="N94" s="2"/>
      <c r="Q94">
        <v>6.0346020385687602E-3</v>
      </c>
      <c r="R94">
        <v>2.8602713126789782E-2</v>
      </c>
      <c r="S94">
        <f t="shared" si="17"/>
        <v>-6.0346020385687602E-3</v>
      </c>
      <c r="T94">
        <f t="shared" si="13"/>
        <v>0.75072737865589989</v>
      </c>
      <c r="W94">
        <f t="shared" si="16"/>
        <v>1.146064442117229</v>
      </c>
      <c r="X94">
        <f t="shared" si="8"/>
        <v>9.7583957342683991E-3</v>
      </c>
      <c r="Y94">
        <f t="shared" si="15"/>
        <v>0.78905641137540328</v>
      </c>
      <c r="Z94">
        <v>5</v>
      </c>
      <c r="AA94">
        <f t="shared" si="14"/>
        <v>28.959598390455589</v>
      </c>
      <c r="AB94">
        <v>0.46716175694629641</v>
      </c>
    </row>
    <row r="95" spans="7:28" x14ac:dyDescent="0.3">
      <c r="N95" s="2"/>
      <c r="Q95">
        <v>8.7057274728783128E-3</v>
      </c>
      <c r="R95">
        <v>2.7741173203034621E-2</v>
      </c>
      <c r="S95">
        <f t="shared" si="17"/>
        <v>-8.7057274728783128E-3</v>
      </c>
      <c r="T95">
        <f t="shared" si="13"/>
        <v>0.72811478223187986</v>
      </c>
      <c r="W95">
        <f t="shared" si="16"/>
        <v>1.1472633609962011</v>
      </c>
      <c r="X95">
        <f t="shared" si="8"/>
        <v>8.5594768552963441E-3</v>
      </c>
      <c r="Y95">
        <f t="shared" si="15"/>
        <v>0.77095915315288355</v>
      </c>
      <c r="Z95">
        <v>5</v>
      </c>
      <c r="AA95">
        <f t="shared" si="14"/>
        <v>28.958399471576616</v>
      </c>
      <c r="AB95">
        <v>0.41106422011527588</v>
      </c>
    </row>
    <row r="96" spans="7:28" x14ac:dyDescent="0.3">
      <c r="N96" s="2"/>
      <c r="Q96">
        <v>1.2822837851497734E-2</v>
      </c>
      <c r="R96">
        <v>2.678017213742372E-2</v>
      </c>
      <c r="S96">
        <f t="shared" si="17"/>
        <v>-1.2822837851497734E-2</v>
      </c>
      <c r="T96">
        <f t="shared" si="13"/>
        <v>0.70289165715022894</v>
      </c>
      <c r="W96">
        <f t="shared" si="16"/>
        <v>1.1490346020385687</v>
      </c>
      <c r="X96">
        <f t="shared" si="8"/>
        <v>6.7882358129287557E-3</v>
      </c>
      <c r="Y96">
        <f t="shared" si="15"/>
        <v>0.75072737865589989</v>
      </c>
      <c r="Z96">
        <v>5</v>
      </c>
      <c r="AA96">
        <f t="shared" si="14"/>
        <v>28.95662823053425</v>
      </c>
      <c r="AB96">
        <v>0.37818505232336652</v>
      </c>
    </row>
    <row r="97" spans="14:28" x14ac:dyDescent="0.3">
      <c r="N97" s="2"/>
      <c r="Q97">
        <v>1.9313237943864886E-2</v>
      </c>
      <c r="R97">
        <v>2.5713183175616813E-2</v>
      </c>
      <c r="T97">
        <f t="shared" si="13"/>
        <v>0.6748866975227511</v>
      </c>
      <c r="W97">
        <f t="shared" si="16"/>
        <v>1.1517057274728781</v>
      </c>
      <c r="X97">
        <f t="shared" si="8"/>
        <v>4.117110378619282E-3</v>
      </c>
      <c r="Y97">
        <f t="shared" si="15"/>
        <v>0.72811478223187986</v>
      </c>
      <c r="Z97">
        <v>5</v>
      </c>
      <c r="AA97">
        <f t="shared" si="14"/>
        <v>28.953957105099938</v>
      </c>
      <c r="AB97">
        <v>0.32929038282229839</v>
      </c>
    </row>
    <row r="98" spans="14:28" x14ac:dyDescent="0.3">
      <c r="N98" s="2"/>
      <c r="Q98">
        <v>2.9773419699607694E-2</v>
      </c>
      <c r="R98">
        <v>2.4538508111197094E-2</v>
      </c>
      <c r="T98">
        <f t="shared" si="13"/>
        <v>0.64405533100254853</v>
      </c>
      <c r="W98">
        <f t="shared" si="16"/>
        <v>1.1558228378514974</v>
      </c>
      <c r="X98">
        <f t="shared" si="8"/>
        <v>0</v>
      </c>
      <c r="Y98">
        <f t="shared" si="15"/>
        <v>0.70289165715022894</v>
      </c>
      <c r="Z98">
        <v>5</v>
      </c>
      <c r="AA98">
        <f t="shared" si="14"/>
        <v>28.949839994721319</v>
      </c>
      <c r="AB98">
        <v>0.31208377348349114</v>
      </c>
    </row>
    <row r="99" spans="14:28" x14ac:dyDescent="0.3">
      <c r="N99" s="2"/>
      <c r="Q99">
        <v>4.6979194060079443E-2</v>
      </c>
      <c r="R99">
        <v>2.3262304363328646E-2</v>
      </c>
      <c r="T99">
        <f t="shared" si="13"/>
        <v>0.61055916964117185</v>
      </c>
      <c r="Z99">
        <v>4</v>
      </c>
      <c r="AA99">
        <f>$X$51*Z99-W56</f>
        <v>24.084530266058255</v>
      </c>
      <c r="AB99">
        <f>Y56</f>
        <v>0.97285452842383113</v>
      </c>
    </row>
    <row r="100" spans="14:28" x14ac:dyDescent="0.3">
      <c r="N100" s="2"/>
      <c r="Q100">
        <v>7.5796638493630664E-2</v>
      </c>
      <c r="R100">
        <v>2.1900769624221533E-2</v>
      </c>
      <c r="T100">
        <f t="shared" si="13"/>
        <v>0.5748233497171007</v>
      </c>
      <c r="Z100">
        <v>4</v>
      </c>
      <c r="AA100">
        <f t="shared" ref="AA100:AA141" si="18">$X$51*Z100-W57</f>
        <v>22.941530266058255</v>
      </c>
      <c r="AB100">
        <f>Y56</f>
        <v>0.97285452842383113</v>
      </c>
    </row>
    <row r="101" spans="14:28" x14ac:dyDescent="0.3">
      <c r="N101" s="2"/>
      <c r="Q101">
        <v>0.12484274054287894</v>
      </c>
      <c r="R101">
        <v>2.0480137053348339E-2</v>
      </c>
      <c r="T101">
        <f t="shared" si="13"/>
        <v>0.53753640559969396</v>
      </c>
      <c r="Z101">
        <v>4</v>
      </c>
      <c r="AA101">
        <f t="shared" si="18"/>
        <v>22.941530266058255</v>
      </c>
      <c r="AB101">
        <v>0.97285452842383113</v>
      </c>
    </row>
    <row r="102" spans="14:28" x14ac:dyDescent="0.3">
      <c r="N102" s="2"/>
      <c r="Q102">
        <v>0.2095710957911876</v>
      </c>
      <c r="R102">
        <v>1.903470551541693E-2</v>
      </c>
      <c r="T102">
        <f t="shared" si="13"/>
        <v>0.4995985699584497</v>
      </c>
      <c r="Z102">
        <v>4</v>
      </c>
      <c r="AA102">
        <f t="shared" si="18"/>
        <v>22.941529266058257</v>
      </c>
      <c r="AB102">
        <v>0.95431555062431983</v>
      </c>
    </row>
    <row r="103" spans="14:28" x14ac:dyDescent="0.3">
      <c r="N103" s="2"/>
      <c r="Q103">
        <v>0.24253791754228915</v>
      </c>
      <c r="R103">
        <v>1.8636484218445316E-2</v>
      </c>
      <c r="T103">
        <f t="shared" si="13"/>
        <v>0.48914656741326296</v>
      </c>
      <c r="Z103">
        <v>4</v>
      </c>
      <c r="AA103">
        <f t="shared" si="18"/>
        <v>22.941528266058256</v>
      </c>
      <c r="AB103">
        <v>0.94526523863597467</v>
      </c>
    </row>
    <row r="104" spans="14:28" x14ac:dyDescent="0.3">
      <c r="N104" s="2"/>
      <c r="Q104">
        <v>0.27962824783731399</v>
      </c>
      <c r="R104">
        <v>1.8300558755325397E-2</v>
      </c>
      <c r="T104">
        <f t="shared" si="13"/>
        <v>0.48032962612402624</v>
      </c>
      <c r="Z104">
        <v>4</v>
      </c>
      <c r="AA104">
        <f t="shared" si="18"/>
        <v>22.941527266058255</v>
      </c>
      <c r="AB104">
        <v>0.93900304266325696</v>
      </c>
    </row>
    <row r="105" spans="14:28" x14ac:dyDescent="0.3">
      <c r="N105" s="2"/>
      <c r="Q105">
        <v>0.32411039143858483</v>
      </c>
      <c r="R105">
        <v>1.7982111686330935E-2</v>
      </c>
      <c r="T105">
        <f t="shared" si="13"/>
        <v>0.47197143533677</v>
      </c>
      <c r="Z105">
        <v>4</v>
      </c>
      <c r="AA105">
        <f t="shared" si="18"/>
        <v>22.941526266058254</v>
      </c>
      <c r="AB105">
        <v>0.93408397023448453</v>
      </c>
    </row>
    <row r="106" spans="14:28" x14ac:dyDescent="0.3">
      <c r="N106" s="2"/>
      <c r="Q106">
        <v>0.81726326506325842</v>
      </c>
      <c r="R106">
        <v>1.5795560329051404E-2</v>
      </c>
      <c r="T106">
        <f t="shared" si="13"/>
        <v>0.41458163593310776</v>
      </c>
      <c r="Z106">
        <v>4</v>
      </c>
      <c r="AA106">
        <f t="shared" si="18"/>
        <v>22.94152513097578</v>
      </c>
      <c r="AB106">
        <v>0.92997640409739935</v>
      </c>
    </row>
    <row r="107" spans="14:28" x14ac:dyDescent="0.3">
      <c r="N107" s="2"/>
      <c r="Q107">
        <v>1.3487218295162766</v>
      </c>
      <c r="R107">
        <v>1.4563403290470209E-2</v>
      </c>
      <c r="T107">
        <f t="shared" si="13"/>
        <v>0.38224155618032052</v>
      </c>
      <c r="Z107">
        <v>4</v>
      </c>
      <c r="AA107">
        <f t="shared" si="18"/>
        <v>22.941523876798062</v>
      </c>
      <c r="AB107">
        <v>0.92642012673556284</v>
      </c>
    </row>
    <row r="108" spans="14:28" x14ac:dyDescent="0.3">
      <c r="N108" s="2"/>
      <c r="Q108">
        <v>3.1532456734884264</v>
      </c>
      <c r="R108">
        <v>1.2700747721927724E-2</v>
      </c>
      <c r="T108">
        <f t="shared" si="13"/>
        <v>0.33335295858078023</v>
      </c>
      <c r="Z108">
        <v>4</v>
      </c>
      <c r="AA108">
        <f t="shared" si="18"/>
        <v>22.941522551853332</v>
      </c>
      <c r="AB108">
        <v>0.92266674638686008</v>
      </c>
    </row>
    <row r="109" spans="14:28" x14ac:dyDescent="0.3">
      <c r="N109" s="2"/>
      <c r="Q109">
        <v>4.8781325665145641</v>
      </c>
      <c r="R109">
        <v>1.1881935951105687E-2</v>
      </c>
      <c r="T109">
        <f t="shared" si="13"/>
        <v>0.31186183598702594</v>
      </c>
      <c r="Z109">
        <v>4</v>
      </c>
      <c r="AA109">
        <f t="shared" si="18"/>
        <v>22.941521054356151</v>
      </c>
      <c r="AB109">
        <v>0.91859627482476058</v>
      </c>
    </row>
    <row r="110" spans="14:28" x14ac:dyDescent="0.3">
      <c r="N110" s="2"/>
      <c r="Z110">
        <v>4</v>
      </c>
      <c r="AA110">
        <f t="shared" si="18"/>
        <v>22.941519340182921</v>
      </c>
      <c r="AB110">
        <v>0.91418936410388296</v>
      </c>
    </row>
    <row r="111" spans="14:28" x14ac:dyDescent="0.3">
      <c r="N111" s="2"/>
      <c r="Z111">
        <v>4</v>
      </c>
      <c r="AA111">
        <f t="shared" si="18"/>
        <v>22.941517355101087</v>
      </c>
      <c r="AB111">
        <v>0.90940513673670975</v>
      </c>
    </row>
    <row r="112" spans="14:28" x14ac:dyDescent="0.3">
      <c r="N112" s="2"/>
      <c r="Z112">
        <v>4</v>
      </c>
      <c r="AA112">
        <f t="shared" si="18"/>
        <v>22.941515037721846</v>
      </c>
      <c r="AB112">
        <v>0.90420069923335833</v>
      </c>
    </row>
    <row r="113" spans="14:28" x14ac:dyDescent="0.3">
      <c r="N113" s="2"/>
      <c r="Z113">
        <v>4</v>
      </c>
      <c r="AA113">
        <f t="shared" si="18"/>
        <v>22.941512314139526</v>
      </c>
      <c r="AB113">
        <v>0.89852690215880404</v>
      </c>
    </row>
    <row r="114" spans="14:28" x14ac:dyDescent="0.3">
      <c r="N114" s="2"/>
      <c r="Z114">
        <v>4</v>
      </c>
      <c r="AA114">
        <f t="shared" si="18"/>
        <v>22.941509093990209</v>
      </c>
      <c r="AB114">
        <v>0.8923280452550667</v>
      </c>
    </row>
    <row r="115" spans="14:28" x14ac:dyDescent="0.3">
      <c r="N115" s="2"/>
      <c r="Z115">
        <v>4</v>
      </c>
      <c r="AA115">
        <f t="shared" si="18"/>
        <v>22.941505265506109</v>
      </c>
      <c r="AB115">
        <v>0.88554071237913856</v>
      </c>
    </row>
    <row r="116" spans="14:28" x14ac:dyDescent="0.3">
      <c r="N116" s="2"/>
      <c r="Z116">
        <v>4</v>
      </c>
      <c r="AA116">
        <f t="shared" si="18"/>
        <v>22.941500689328048</v>
      </c>
      <c r="AB116">
        <v>0.8813042663320827</v>
      </c>
    </row>
    <row r="117" spans="14:28" x14ac:dyDescent="0.3">
      <c r="N117" s="2"/>
      <c r="Z117">
        <v>4</v>
      </c>
      <c r="AA117">
        <f t="shared" si="18"/>
        <v>22.941495190502728</v>
      </c>
      <c r="AB117">
        <v>0.87271763611255715</v>
      </c>
    </row>
    <row r="118" spans="14:28" x14ac:dyDescent="0.3">
      <c r="N118" s="2"/>
      <c r="Z118">
        <v>4</v>
      </c>
      <c r="AA118">
        <f t="shared" si="18"/>
        <v>22.941488547995732</v>
      </c>
      <c r="AB118">
        <v>0.86503915102175011</v>
      </c>
    </row>
    <row r="119" spans="14:28" x14ac:dyDescent="0.3">
      <c r="N119" s="2"/>
      <c r="Z119">
        <v>4</v>
      </c>
      <c r="AA119">
        <f t="shared" si="18"/>
        <v>22.941480480811542</v>
      </c>
      <c r="AB119">
        <v>0.8552394874830842</v>
      </c>
    </row>
    <row r="120" spans="14:28" x14ac:dyDescent="0.3">
      <c r="N120" s="2"/>
      <c r="Z120">
        <v>4</v>
      </c>
      <c r="AA120">
        <f t="shared" si="18"/>
        <v>22.941470629467787</v>
      </c>
      <c r="AB120">
        <v>0.84473316333568194</v>
      </c>
    </row>
    <row r="121" spans="14:28" x14ac:dyDescent="0.3">
      <c r="N121" s="2"/>
      <c r="Z121">
        <v>4</v>
      </c>
      <c r="AA121">
        <f t="shared" si="18"/>
        <v>22.941458531069514</v>
      </c>
      <c r="AB121">
        <v>0.83299431723518536</v>
      </c>
    </row>
    <row r="122" spans="14:28" x14ac:dyDescent="0.3">
      <c r="N122" s="2"/>
      <c r="Z122">
        <v>4</v>
      </c>
      <c r="AA122">
        <f t="shared" si="18"/>
        <v>22.941443585499531</v>
      </c>
      <c r="AB122">
        <v>0.81997680259060624</v>
      </c>
    </row>
    <row r="123" spans="14:28" x14ac:dyDescent="0.3">
      <c r="N123" s="2"/>
      <c r="Z123">
        <v>4</v>
      </c>
      <c r="AA123">
        <f t="shared" si="18"/>
        <v>22.941425009172168</v>
      </c>
      <c r="AB123">
        <v>0.80547458016927453</v>
      </c>
    </row>
    <row r="124" spans="14:28" x14ac:dyDescent="0.3">
      <c r="N124" s="2"/>
      <c r="Z124">
        <v>4</v>
      </c>
      <c r="AA124">
        <f t="shared" si="18"/>
        <v>22.94140177121643</v>
      </c>
      <c r="AB124">
        <v>0.7893006424971396</v>
      </c>
    </row>
    <row r="125" spans="14:28" x14ac:dyDescent="0.3">
      <c r="N125" s="2"/>
      <c r="Z125">
        <v>4</v>
      </c>
      <c r="AA125">
        <f t="shared" si="18"/>
        <v>22.941372504589861</v>
      </c>
      <c r="AB125">
        <v>0.77123212562617249</v>
      </c>
    </row>
    <row r="126" spans="14:28" x14ac:dyDescent="0.3">
      <c r="N126" s="2"/>
      <c r="Z126">
        <v>4</v>
      </c>
      <c r="AA126">
        <f t="shared" si="18"/>
        <v>22.94133538104732</v>
      </c>
      <c r="AB126">
        <v>0.75103257945464996</v>
      </c>
    </row>
    <row r="127" spans="14:28" x14ac:dyDescent="0.3">
      <c r="N127" s="2"/>
      <c r="Z127">
        <v>4</v>
      </c>
      <c r="AA127">
        <f t="shared" si="18"/>
        <v>22.941287933409512</v>
      </c>
      <c r="AB127">
        <v>0.72845568886957368</v>
      </c>
    </row>
    <row r="128" spans="14:28" x14ac:dyDescent="0.3">
      <c r="N128" s="2"/>
      <c r="Z128">
        <v>4</v>
      </c>
      <c r="AA128">
        <f t="shared" si="18"/>
        <v>22.94122680007019</v>
      </c>
      <c r="AB128">
        <v>0.70327127069389761</v>
      </c>
    </row>
    <row r="129" spans="14:30" x14ac:dyDescent="0.3">
      <c r="N129" s="2"/>
      <c r="Z129">
        <v>4</v>
      </c>
      <c r="AA129">
        <f t="shared" si="18"/>
        <v>22.941183322426724</v>
      </c>
      <c r="AB129">
        <v>0.67530676092515485</v>
      </c>
    </row>
    <row r="130" spans="14:30" x14ac:dyDescent="0.3">
      <c r="N130" s="2"/>
      <c r="Z130">
        <v>4</v>
      </c>
      <c r="AA130">
        <f t="shared" si="18"/>
        <v>22.941081112819038</v>
      </c>
      <c r="AB130">
        <v>0.64451521279243373</v>
      </c>
    </row>
    <row r="131" spans="14:30" x14ac:dyDescent="0.3">
      <c r="N131" s="2"/>
      <c r="Z131">
        <v>4</v>
      </c>
      <c r="AA131">
        <f t="shared" si="18"/>
        <v>22.940972054011649</v>
      </c>
      <c r="AB131">
        <v>0.61105478378177158</v>
      </c>
    </row>
    <row r="132" spans="14:30" x14ac:dyDescent="0.3">
      <c r="N132" s="2"/>
      <c r="Z132">
        <v>4</v>
      </c>
      <c r="AA132">
        <f t="shared" si="18"/>
        <v>22.940805230432105</v>
      </c>
      <c r="AB132">
        <v>0.57534669570155927</v>
      </c>
    </row>
    <row r="133" spans="14:30" x14ac:dyDescent="0.3">
      <c r="N133" s="2"/>
      <c r="Z133">
        <v>4</v>
      </c>
      <c r="AA133">
        <f t="shared" si="18"/>
        <v>22.940586985449414</v>
      </c>
      <c r="AB133">
        <v>0.53807598563900061</v>
      </c>
    </row>
    <row r="134" spans="14:30" x14ac:dyDescent="0.3">
      <c r="N134" s="2"/>
      <c r="Z134">
        <v>4</v>
      </c>
      <c r="AA134">
        <f t="shared" si="18"/>
        <v>22.940287091407932</v>
      </c>
      <c r="AB134">
        <v>0.50014041541987242</v>
      </c>
    </row>
    <row r="135" spans="14:30" x14ac:dyDescent="0.3">
      <c r="N135" s="2"/>
      <c r="Z135">
        <v>4</v>
      </c>
      <c r="AA135">
        <f t="shared" si="18"/>
        <v>22.939873345845335</v>
      </c>
      <c r="AB135">
        <v>0.48980530792201532</v>
      </c>
    </row>
    <row r="136" spans="14:30" x14ac:dyDescent="0.3">
      <c r="N136" s="2"/>
      <c r="Z136">
        <v>4</v>
      </c>
      <c r="AA136">
        <f t="shared" si="18"/>
        <v>22.939292808108739</v>
      </c>
      <c r="AB136">
        <v>0.47952536606680624</v>
      </c>
    </row>
    <row r="137" spans="14:30" x14ac:dyDescent="0.3">
      <c r="N137" s="2"/>
      <c r="Z137">
        <v>4</v>
      </c>
      <c r="AA137">
        <f t="shared" si="18"/>
        <v>22.938465823941026</v>
      </c>
      <c r="AB137">
        <v>0.46716175694629641</v>
      </c>
    </row>
    <row r="138" spans="14:30" x14ac:dyDescent="0.3">
      <c r="N138" s="2"/>
      <c r="Z138">
        <v>4</v>
      </c>
      <c r="AA138">
        <f t="shared" si="18"/>
        <v>22.937266905062053</v>
      </c>
      <c r="AB138">
        <v>0.41106422011527588</v>
      </c>
      <c r="AC138" s="4"/>
      <c r="AD138" s="4"/>
    </row>
    <row r="139" spans="14:30" x14ac:dyDescent="0.3">
      <c r="N139" s="2"/>
      <c r="Z139">
        <v>4</v>
      </c>
      <c r="AA139">
        <f t="shared" si="18"/>
        <v>22.935495664019687</v>
      </c>
      <c r="AB139">
        <v>0.37818505232336652</v>
      </c>
      <c r="AC139" s="4"/>
      <c r="AD139" s="4"/>
    </row>
    <row r="140" spans="14:30" x14ac:dyDescent="0.3">
      <c r="N140" s="2"/>
      <c r="Z140">
        <v>4</v>
      </c>
      <c r="AA140">
        <f t="shared" si="18"/>
        <v>22.932824538585379</v>
      </c>
      <c r="AB140">
        <v>0.32929038282229839</v>
      </c>
    </row>
    <row r="141" spans="14:30" x14ac:dyDescent="0.3">
      <c r="N141" s="2"/>
      <c r="Z141">
        <v>4</v>
      </c>
      <c r="AA141">
        <f t="shared" si="18"/>
        <v>22.928707428206756</v>
      </c>
      <c r="AB141">
        <v>0.31208377348349114</v>
      </c>
    </row>
    <row r="142" spans="14:30" x14ac:dyDescent="0.3">
      <c r="N142" s="2"/>
      <c r="Z142">
        <v>3</v>
      </c>
      <c r="AA142">
        <f>$X$51*Z142-W56</f>
        <v>18.063397699543692</v>
      </c>
      <c r="AB142">
        <f>Y56</f>
        <v>0.97285452842383113</v>
      </c>
    </row>
    <row r="143" spans="14:30" x14ac:dyDescent="0.3">
      <c r="N143" s="2"/>
      <c r="Z143">
        <v>3</v>
      </c>
      <c r="AA143">
        <f t="shared" ref="AA143:AA184" si="19">$X$51*Z143-W57</f>
        <v>16.920397699543692</v>
      </c>
      <c r="AB143">
        <f>Y56</f>
        <v>0.97285452842383113</v>
      </c>
    </row>
    <row r="144" spans="14:30" x14ac:dyDescent="0.3">
      <c r="N144" s="2"/>
      <c r="Z144">
        <v>3</v>
      </c>
      <c r="AA144">
        <f t="shared" si="19"/>
        <v>16.920397699543692</v>
      </c>
      <c r="AB144">
        <v>0.97285452842383113</v>
      </c>
    </row>
    <row r="145" spans="14:30" x14ac:dyDescent="0.3">
      <c r="N145" s="2"/>
      <c r="Z145">
        <v>3</v>
      </c>
      <c r="AA145">
        <f t="shared" si="19"/>
        <v>16.920396699543694</v>
      </c>
      <c r="AB145">
        <v>0.95431555062431983</v>
      </c>
    </row>
    <row r="146" spans="14:30" x14ac:dyDescent="0.3">
      <c r="N146" s="2"/>
      <c r="Z146">
        <v>3</v>
      </c>
      <c r="AA146">
        <f t="shared" si="19"/>
        <v>16.920395699543693</v>
      </c>
      <c r="AB146">
        <v>0.94526523863597467</v>
      </c>
    </row>
    <row r="147" spans="14:30" x14ac:dyDescent="0.3">
      <c r="N147" s="2"/>
      <c r="Z147">
        <v>3</v>
      </c>
      <c r="AA147">
        <f t="shared" si="19"/>
        <v>16.920394699543692</v>
      </c>
      <c r="AB147">
        <v>0.93900304266325696</v>
      </c>
    </row>
    <row r="148" spans="14:30" x14ac:dyDescent="0.3">
      <c r="N148" s="2"/>
      <c r="Z148">
        <v>3</v>
      </c>
      <c r="AA148">
        <f t="shared" si="19"/>
        <v>16.920393699543691</v>
      </c>
      <c r="AB148">
        <v>0.93408397023448453</v>
      </c>
    </row>
    <row r="149" spans="14:30" x14ac:dyDescent="0.3">
      <c r="N149" s="2"/>
      <c r="Z149">
        <v>3</v>
      </c>
      <c r="AA149">
        <f t="shared" si="19"/>
        <v>16.920392564461217</v>
      </c>
      <c r="AB149">
        <v>0.92997640409739935</v>
      </c>
    </row>
    <row r="150" spans="14:30" x14ac:dyDescent="0.3">
      <c r="N150" s="2"/>
      <c r="Z150">
        <v>3</v>
      </c>
      <c r="AA150">
        <f t="shared" si="19"/>
        <v>16.920391310283499</v>
      </c>
      <c r="AB150">
        <v>0.92642012673556284</v>
      </c>
    </row>
    <row r="151" spans="14:30" x14ac:dyDescent="0.3">
      <c r="N151" s="2"/>
      <c r="Z151">
        <v>3</v>
      </c>
      <c r="AA151">
        <f t="shared" si="19"/>
        <v>16.920389985338769</v>
      </c>
      <c r="AB151">
        <v>0.92266674638686008</v>
      </c>
    </row>
    <row r="152" spans="14:30" x14ac:dyDescent="0.3">
      <c r="N152" s="2"/>
      <c r="Z152">
        <v>3</v>
      </c>
      <c r="AA152">
        <f t="shared" si="19"/>
        <v>16.920388487841588</v>
      </c>
      <c r="AB152">
        <v>0.91859627482476058</v>
      </c>
    </row>
    <row r="153" spans="14:30" x14ac:dyDescent="0.3">
      <c r="N153" s="2"/>
      <c r="Z153">
        <v>3</v>
      </c>
      <c r="AA153">
        <f t="shared" si="19"/>
        <v>16.920386773668358</v>
      </c>
      <c r="AB153">
        <v>0.91418936410388296</v>
      </c>
    </row>
    <row r="154" spans="14:30" x14ac:dyDescent="0.3">
      <c r="N154" s="2"/>
      <c r="Z154">
        <v>3</v>
      </c>
      <c r="AA154">
        <f t="shared" si="19"/>
        <v>16.920384788586524</v>
      </c>
      <c r="AB154">
        <v>0.90940513673670975</v>
      </c>
    </row>
    <row r="155" spans="14:30" x14ac:dyDescent="0.3">
      <c r="N155" s="2"/>
      <c r="Z155">
        <v>3</v>
      </c>
      <c r="AA155">
        <f t="shared" si="19"/>
        <v>16.920382471207283</v>
      </c>
      <c r="AB155">
        <v>0.90420069923335833</v>
      </c>
      <c r="AC155" t="e">
        <f>#REF!*-1</f>
        <v>#REF!</v>
      </c>
      <c r="AD155" t="e">
        <f>TTBN_Numerator(AB155)</f>
        <v>#VALUE!</v>
      </c>
    </row>
    <row r="156" spans="14:30" x14ac:dyDescent="0.3">
      <c r="N156" s="2"/>
      <c r="Z156">
        <v>3</v>
      </c>
      <c r="AA156">
        <f t="shared" si="19"/>
        <v>16.920379747624963</v>
      </c>
      <c r="AB156">
        <v>0.89852690215880404</v>
      </c>
    </row>
    <row r="157" spans="14:30" x14ac:dyDescent="0.3">
      <c r="N157" s="2"/>
      <c r="Z157">
        <v>3</v>
      </c>
      <c r="AA157">
        <f t="shared" si="19"/>
        <v>16.920376527475646</v>
      </c>
      <c r="AB157">
        <v>0.8923280452550667</v>
      </c>
    </row>
    <row r="158" spans="14:30" x14ac:dyDescent="0.3">
      <c r="N158" s="2"/>
      <c r="Z158">
        <v>3</v>
      </c>
      <c r="AA158">
        <f t="shared" si="19"/>
        <v>16.920372698991549</v>
      </c>
      <c r="AB158">
        <v>0.88554071237913856</v>
      </c>
    </row>
    <row r="159" spans="14:30" x14ac:dyDescent="0.3">
      <c r="N159" s="2"/>
      <c r="Z159">
        <v>3</v>
      </c>
      <c r="AA159">
        <f t="shared" si="19"/>
        <v>16.920368122813485</v>
      </c>
      <c r="AB159">
        <v>0.8813042663320827</v>
      </c>
    </row>
    <row r="160" spans="14:30" x14ac:dyDescent="0.3">
      <c r="N160" s="2"/>
      <c r="Z160">
        <v>3</v>
      </c>
      <c r="AA160">
        <f t="shared" si="19"/>
        <v>16.920362623988165</v>
      </c>
      <c r="AB160">
        <v>0.87271763611255715</v>
      </c>
    </row>
    <row r="161" spans="14:28" x14ac:dyDescent="0.3">
      <c r="N161" s="2"/>
      <c r="Z161">
        <v>3</v>
      </c>
      <c r="AA161">
        <f t="shared" si="19"/>
        <v>16.920355981481169</v>
      </c>
      <c r="AB161">
        <v>0.86503915102175011</v>
      </c>
    </row>
    <row r="162" spans="14:28" x14ac:dyDescent="0.3">
      <c r="N162" s="2"/>
      <c r="Z162">
        <v>3</v>
      </c>
      <c r="AA162">
        <f t="shared" si="19"/>
        <v>16.920347914296979</v>
      </c>
      <c r="AB162">
        <v>0.8552394874830842</v>
      </c>
    </row>
    <row r="163" spans="14:28" x14ac:dyDescent="0.3">
      <c r="N163" s="2"/>
      <c r="Z163">
        <v>3</v>
      </c>
      <c r="AA163">
        <f t="shared" si="19"/>
        <v>16.920338062953224</v>
      </c>
      <c r="AB163">
        <v>0.84473316333568194</v>
      </c>
    </row>
    <row r="164" spans="14:28" x14ac:dyDescent="0.3">
      <c r="N164" s="2"/>
      <c r="Z164">
        <v>3</v>
      </c>
      <c r="AA164">
        <f t="shared" si="19"/>
        <v>16.920325964554952</v>
      </c>
      <c r="AB164">
        <v>0.83299431723518536</v>
      </c>
    </row>
    <row r="165" spans="14:28" x14ac:dyDescent="0.3">
      <c r="N165" s="2"/>
      <c r="Z165">
        <v>3</v>
      </c>
      <c r="AA165">
        <f t="shared" si="19"/>
        <v>16.920311018984968</v>
      </c>
      <c r="AB165">
        <v>0.81997680259060624</v>
      </c>
    </row>
    <row r="166" spans="14:28" x14ac:dyDescent="0.3">
      <c r="N166" s="2"/>
      <c r="Z166">
        <v>3</v>
      </c>
      <c r="AA166">
        <f t="shared" si="19"/>
        <v>16.920292442657605</v>
      </c>
      <c r="AB166">
        <v>0.80547458016927453</v>
      </c>
    </row>
    <row r="167" spans="14:28" x14ac:dyDescent="0.3">
      <c r="N167" s="2"/>
      <c r="Z167">
        <v>3</v>
      </c>
      <c r="AA167">
        <f t="shared" si="19"/>
        <v>16.920269204701867</v>
      </c>
      <c r="AB167">
        <v>0.7893006424971396</v>
      </c>
    </row>
    <row r="168" spans="14:28" x14ac:dyDescent="0.3">
      <c r="N168" s="2"/>
      <c r="Z168">
        <v>3</v>
      </c>
      <c r="AA168">
        <f t="shared" si="19"/>
        <v>16.920239938075298</v>
      </c>
      <c r="AB168">
        <v>0.77123212562617249</v>
      </c>
    </row>
    <row r="169" spans="14:28" x14ac:dyDescent="0.3">
      <c r="N169" s="2"/>
      <c r="Z169">
        <v>3</v>
      </c>
      <c r="AA169">
        <f t="shared" si="19"/>
        <v>16.920202814532757</v>
      </c>
      <c r="AB169">
        <v>0.75103257945464996</v>
      </c>
    </row>
    <row r="170" spans="14:28" x14ac:dyDescent="0.3">
      <c r="N170" s="2"/>
      <c r="Z170">
        <v>3</v>
      </c>
      <c r="AA170">
        <f t="shared" si="19"/>
        <v>16.920155366894949</v>
      </c>
      <c r="AB170">
        <v>0.72845568886957368</v>
      </c>
    </row>
    <row r="171" spans="14:28" x14ac:dyDescent="0.3">
      <c r="N171" s="2"/>
      <c r="Z171">
        <v>3</v>
      </c>
      <c r="AA171">
        <f t="shared" si="19"/>
        <v>16.920094233555627</v>
      </c>
      <c r="AB171">
        <v>0.70327127069389761</v>
      </c>
    </row>
    <row r="172" spans="14:28" x14ac:dyDescent="0.3">
      <c r="N172" s="2"/>
      <c r="Z172">
        <v>3</v>
      </c>
      <c r="AA172">
        <f t="shared" si="19"/>
        <v>16.920050755912158</v>
      </c>
      <c r="AB172">
        <v>0.67530676092515485</v>
      </c>
    </row>
    <row r="173" spans="14:28" x14ac:dyDescent="0.3">
      <c r="N173" s="2"/>
      <c r="Z173">
        <v>3</v>
      </c>
      <c r="AA173">
        <f t="shared" si="19"/>
        <v>16.919948546304475</v>
      </c>
      <c r="AB173">
        <v>0.64451521279243373</v>
      </c>
    </row>
    <row r="174" spans="14:28" x14ac:dyDescent="0.3">
      <c r="N174" s="2"/>
      <c r="Z174">
        <v>3</v>
      </c>
      <c r="AA174">
        <f t="shared" si="19"/>
        <v>16.919839487497086</v>
      </c>
      <c r="AB174">
        <v>0.61105478378177158</v>
      </c>
    </row>
    <row r="175" spans="14:28" x14ac:dyDescent="0.3">
      <c r="N175" s="2"/>
      <c r="Z175">
        <v>3</v>
      </c>
      <c r="AA175">
        <f t="shared" si="19"/>
        <v>16.919672663917542</v>
      </c>
      <c r="AB175">
        <v>0.57534669570155927</v>
      </c>
    </row>
    <row r="176" spans="14:28" x14ac:dyDescent="0.3">
      <c r="N176" s="2"/>
      <c r="Z176">
        <v>3</v>
      </c>
      <c r="AA176">
        <f t="shared" si="19"/>
        <v>16.919454418934851</v>
      </c>
      <c r="AB176">
        <v>0.53807598563900061</v>
      </c>
    </row>
    <row r="177" spans="14:28" x14ac:dyDescent="0.3">
      <c r="N177" s="2"/>
      <c r="Z177">
        <v>3</v>
      </c>
      <c r="AA177">
        <f t="shared" si="19"/>
        <v>16.919154524893365</v>
      </c>
      <c r="AB177">
        <v>0.50014041541987242</v>
      </c>
    </row>
    <row r="178" spans="14:28" x14ac:dyDescent="0.3">
      <c r="N178" s="2"/>
      <c r="Z178">
        <v>3</v>
      </c>
      <c r="AA178">
        <f t="shared" si="19"/>
        <v>16.918740779330776</v>
      </c>
      <c r="AB178">
        <v>0.48980530792201532</v>
      </c>
    </row>
    <row r="179" spans="14:28" x14ac:dyDescent="0.3">
      <c r="N179" s="2"/>
      <c r="Z179">
        <v>3</v>
      </c>
      <c r="AA179">
        <f t="shared" si="19"/>
        <v>16.918160241594176</v>
      </c>
      <c r="AB179">
        <v>0.47952536606680624</v>
      </c>
    </row>
    <row r="180" spans="14:28" x14ac:dyDescent="0.3">
      <c r="N180" s="2"/>
      <c r="Z180">
        <v>3</v>
      </c>
      <c r="AA180">
        <f t="shared" si="19"/>
        <v>16.917333257426463</v>
      </c>
      <c r="AB180">
        <v>0.46716175694629641</v>
      </c>
    </row>
    <row r="181" spans="14:28" x14ac:dyDescent="0.3">
      <c r="N181" s="2"/>
      <c r="Z181">
        <v>3</v>
      </c>
      <c r="AA181">
        <f t="shared" si="19"/>
        <v>16.91613433854749</v>
      </c>
      <c r="AB181">
        <v>0.41106422011527588</v>
      </c>
    </row>
    <row r="182" spans="14:28" x14ac:dyDescent="0.3">
      <c r="N182" s="2"/>
      <c r="Z182">
        <v>3</v>
      </c>
      <c r="AA182">
        <f t="shared" si="19"/>
        <v>16.914363097505124</v>
      </c>
      <c r="AB182">
        <v>0.37818505232336652</v>
      </c>
    </row>
    <row r="183" spans="14:28" x14ac:dyDescent="0.3">
      <c r="N183" s="2"/>
      <c r="Z183">
        <v>3</v>
      </c>
      <c r="AA183">
        <f t="shared" si="19"/>
        <v>16.911691972070813</v>
      </c>
      <c r="AB183">
        <v>0.32929038282229839</v>
      </c>
    </row>
    <row r="184" spans="14:28" x14ac:dyDescent="0.3">
      <c r="N184" s="2"/>
      <c r="Z184">
        <v>3</v>
      </c>
      <c r="AA184">
        <f t="shared" si="19"/>
        <v>16.907574861692193</v>
      </c>
      <c r="AB184">
        <v>0.31208377348349114</v>
      </c>
    </row>
    <row r="185" spans="14:28" x14ac:dyDescent="0.3">
      <c r="N185" s="2"/>
      <c r="Z185">
        <v>2</v>
      </c>
      <c r="AA185">
        <f>$X$51*Z185-W56</f>
        <v>12.042265133029128</v>
      </c>
      <c r="AB185">
        <f>Y56</f>
        <v>0.97285452842383113</v>
      </c>
    </row>
    <row r="186" spans="14:28" x14ac:dyDescent="0.3">
      <c r="N186" s="2"/>
      <c r="Z186">
        <v>2</v>
      </c>
      <c r="AA186">
        <f t="shared" ref="AA186:AA227" si="20">$X$51*Z186-W57</f>
        <v>10.899265133029129</v>
      </c>
      <c r="AB186">
        <f>Y56</f>
        <v>0.97285452842383113</v>
      </c>
    </row>
    <row r="187" spans="14:28" x14ac:dyDescent="0.3">
      <c r="N187" s="2"/>
      <c r="Z187">
        <v>2</v>
      </c>
      <c r="AA187">
        <f t="shared" si="20"/>
        <v>10.899265133029129</v>
      </c>
      <c r="AB187">
        <v>0.97285452842383113</v>
      </c>
    </row>
    <row r="188" spans="14:28" x14ac:dyDescent="0.3">
      <c r="N188" s="2"/>
      <c r="Z188">
        <v>2</v>
      </c>
      <c r="AA188">
        <f t="shared" si="20"/>
        <v>10.899264133029128</v>
      </c>
      <c r="AB188">
        <v>0.95431555062431983</v>
      </c>
    </row>
    <row r="189" spans="14:28" x14ac:dyDescent="0.3">
      <c r="N189" s="2"/>
      <c r="Z189">
        <v>2</v>
      </c>
      <c r="AA189">
        <f t="shared" si="20"/>
        <v>10.899263133029129</v>
      </c>
      <c r="AB189">
        <v>0.94526523863597467</v>
      </c>
    </row>
    <row r="190" spans="14:28" x14ac:dyDescent="0.3">
      <c r="N190" s="2"/>
      <c r="Z190">
        <v>2</v>
      </c>
      <c r="AA190">
        <f t="shared" si="20"/>
        <v>10.899262133029127</v>
      </c>
      <c r="AB190">
        <v>0.93900304266325696</v>
      </c>
    </row>
    <row r="191" spans="14:28" x14ac:dyDescent="0.3">
      <c r="N191" s="2"/>
      <c r="Z191">
        <v>2</v>
      </c>
      <c r="AA191">
        <f t="shared" si="20"/>
        <v>10.899261133029128</v>
      </c>
      <c r="AB191">
        <v>0.93408397023448453</v>
      </c>
    </row>
    <row r="192" spans="14:28" x14ac:dyDescent="0.3">
      <c r="N192" s="2"/>
      <c r="Z192">
        <v>2</v>
      </c>
      <c r="AA192">
        <f t="shared" si="20"/>
        <v>10.899259997946652</v>
      </c>
      <c r="AB192">
        <v>0.92997640409739935</v>
      </c>
    </row>
    <row r="193" spans="14:28" x14ac:dyDescent="0.3">
      <c r="N193" s="2"/>
      <c r="Z193">
        <v>2</v>
      </c>
      <c r="AA193">
        <f t="shared" si="20"/>
        <v>10.899258743768934</v>
      </c>
      <c r="AB193">
        <v>0.92642012673556284</v>
      </c>
    </row>
    <row r="194" spans="14:28" x14ac:dyDescent="0.3">
      <c r="N194" s="2"/>
      <c r="Z194">
        <v>2</v>
      </c>
      <c r="AA194">
        <f t="shared" si="20"/>
        <v>10.899257418824202</v>
      </c>
      <c r="AB194">
        <v>0.92266674638686008</v>
      </c>
    </row>
    <row r="195" spans="14:28" x14ac:dyDescent="0.3">
      <c r="N195" s="2"/>
      <c r="Z195">
        <v>2</v>
      </c>
      <c r="AA195">
        <f t="shared" si="20"/>
        <v>10.899255921327024</v>
      </c>
      <c r="AB195">
        <v>0.91859627482476058</v>
      </c>
    </row>
    <row r="196" spans="14:28" x14ac:dyDescent="0.3">
      <c r="N196" s="2"/>
      <c r="Z196">
        <v>2</v>
      </c>
      <c r="AA196">
        <f t="shared" si="20"/>
        <v>10.899254207153795</v>
      </c>
      <c r="AB196">
        <v>0.91418936410388296</v>
      </c>
    </row>
    <row r="197" spans="14:28" x14ac:dyDescent="0.3">
      <c r="N197" s="2"/>
      <c r="Z197">
        <v>2</v>
      </c>
      <c r="AA197">
        <f t="shared" si="20"/>
        <v>10.899252222071958</v>
      </c>
      <c r="AB197">
        <v>0.90940513673670975</v>
      </c>
    </row>
    <row r="198" spans="14:28" x14ac:dyDescent="0.3">
      <c r="N198" s="2"/>
      <c r="Z198">
        <v>2</v>
      </c>
      <c r="AA198">
        <f t="shared" si="20"/>
        <v>10.899249904692716</v>
      </c>
      <c r="AB198">
        <v>0.90420069923335833</v>
      </c>
    </row>
    <row r="199" spans="14:28" x14ac:dyDescent="0.3">
      <c r="N199" s="2"/>
      <c r="Z199">
        <v>2</v>
      </c>
      <c r="AA199">
        <f t="shared" si="20"/>
        <v>10.899247181110399</v>
      </c>
      <c r="AB199">
        <v>0.89852690215880404</v>
      </c>
    </row>
    <row r="200" spans="14:28" x14ac:dyDescent="0.3">
      <c r="N200" s="2"/>
      <c r="Z200">
        <v>2</v>
      </c>
      <c r="AA200">
        <f t="shared" si="20"/>
        <v>10.899243960961082</v>
      </c>
      <c r="AB200">
        <v>0.8923280452550667</v>
      </c>
    </row>
    <row r="201" spans="14:28" x14ac:dyDescent="0.3">
      <c r="N201" s="2"/>
      <c r="Z201">
        <v>2</v>
      </c>
      <c r="AA201">
        <f t="shared" si="20"/>
        <v>10.899240132476983</v>
      </c>
      <c r="AB201">
        <v>0.88554071237913856</v>
      </c>
    </row>
    <row r="202" spans="14:28" x14ac:dyDescent="0.3">
      <c r="N202" s="2"/>
      <c r="Z202">
        <v>2</v>
      </c>
      <c r="AA202">
        <f t="shared" si="20"/>
        <v>10.899235556298921</v>
      </c>
      <c r="AB202">
        <v>0.8813042663320827</v>
      </c>
    </row>
    <row r="203" spans="14:28" x14ac:dyDescent="0.3">
      <c r="N203" s="2"/>
      <c r="Z203">
        <v>2</v>
      </c>
      <c r="AA203">
        <f t="shared" si="20"/>
        <v>10.8992300574736</v>
      </c>
      <c r="AB203">
        <v>0.87271763611255715</v>
      </c>
    </row>
    <row r="204" spans="14:28" x14ac:dyDescent="0.3">
      <c r="N204" s="2"/>
      <c r="Z204">
        <v>2</v>
      </c>
      <c r="AA204">
        <f t="shared" si="20"/>
        <v>10.899223414966606</v>
      </c>
      <c r="AB204">
        <v>0.86503915102175011</v>
      </c>
    </row>
    <row r="205" spans="14:28" x14ac:dyDescent="0.3">
      <c r="N205" s="2"/>
      <c r="Z205">
        <v>2</v>
      </c>
      <c r="AA205">
        <f t="shared" si="20"/>
        <v>10.899215347782413</v>
      </c>
      <c r="AB205">
        <v>0.8552394874830842</v>
      </c>
    </row>
    <row r="206" spans="14:28" x14ac:dyDescent="0.3">
      <c r="N206" s="2"/>
      <c r="Z206">
        <v>2</v>
      </c>
      <c r="AA206">
        <f t="shared" si="20"/>
        <v>10.899205496438659</v>
      </c>
      <c r="AB206">
        <v>0.84473316333568194</v>
      </c>
    </row>
    <row r="207" spans="14:28" x14ac:dyDescent="0.3">
      <c r="N207" s="2"/>
      <c r="Z207">
        <v>2</v>
      </c>
      <c r="AA207">
        <f t="shared" si="20"/>
        <v>10.899193398040387</v>
      </c>
      <c r="AB207">
        <v>0.83299431723518536</v>
      </c>
    </row>
    <row r="208" spans="14:28" x14ac:dyDescent="0.3">
      <c r="N208" s="2"/>
      <c r="Z208">
        <v>2</v>
      </c>
      <c r="AA208">
        <f t="shared" si="20"/>
        <v>10.899178452470402</v>
      </c>
      <c r="AB208">
        <v>0.81997680259060624</v>
      </c>
    </row>
    <row r="209" spans="14:28" x14ac:dyDescent="0.3">
      <c r="N209" s="2"/>
      <c r="Z209">
        <v>2</v>
      </c>
      <c r="AA209">
        <f t="shared" si="20"/>
        <v>10.89915987614304</v>
      </c>
      <c r="AB209">
        <v>0.80547458016927453</v>
      </c>
    </row>
    <row r="210" spans="14:28" x14ac:dyDescent="0.3">
      <c r="N210" s="2"/>
      <c r="Z210">
        <v>2</v>
      </c>
      <c r="AA210">
        <f t="shared" si="20"/>
        <v>10.899136638187302</v>
      </c>
      <c r="AB210">
        <v>0.7893006424971396</v>
      </c>
    </row>
    <row r="211" spans="14:28" x14ac:dyDescent="0.3">
      <c r="N211" s="2"/>
      <c r="Z211">
        <v>2</v>
      </c>
      <c r="AA211">
        <f t="shared" si="20"/>
        <v>10.899107371560731</v>
      </c>
      <c r="AB211">
        <v>0.77123212562617249</v>
      </c>
    </row>
    <row r="212" spans="14:28" x14ac:dyDescent="0.3">
      <c r="N212" s="2"/>
      <c r="Z212">
        <v>2</v>
      </c>
      <c r="AA212">
        <f t="shared" si="20"/>
        <v>10.899070248018194</v>
      </c>
      <c r="AB212">
        <v>0.75103257945464996</v>
      </c>
    </row>
    <row r="213" spans="14:28" x14ac:dyDescent="0.3">
      <c r="N213" s="2"/>
      <c r="Z213">
        <v>2</v>
      </c>
      <c r="AA213">
        <f t="shared" si="20"/>
        <v>10.899022800380385</v>
      </c>
      <c r="AB213">
        <v>0.72845568886957368</v>
      </c>
    </row>
    <row r="214" spans="14:28" x14ac:dyDescent="0.3">
      <c r="N214" s="2"/>
      <c r="Z214">
        <v>2</v>
      </c>
      <c r="AA214">
        <f t="shared" si="20"/>
        <v>10.898961667041061</v>
      </c>
      <c r="AB214">
        <v>0.70327127069389761</v>
      </c>
    </row>
    <row r="215" spans="14:28" x14ac:dyDescent="0.3">
      <c r="N215" s="2"/>
      <c r="Z215">
        <v>2</v>
      </c>
      <c r="AA215">
        <f t="shared" si="20"/>
        <v>10.898918189397595</v>
      </c>
      <c r="AB215">
        <v>0.67530676092515485</v>
      </c>
    </row>
    <row r="216" spans="14:28" x14ac:dyDescent="0.3">
      <c r="N216" s="2"/>
      <c r="Z216">
        <v>2</v>
      </c>
      <c r="AA216">
        <f t="shared" si="20"/>
        <v>10.898815979789912</v>
      </c>
      <c r="AB216">
        <v>0.64451521279243373</v>
      </c>
    </row>
    <row r="217" spans="14:28" x14ac:dyDescent="0.3">
      <c r="N217" s="2"/>
      <c r="Z217">
        <v>2</v>
      </c>
      <c r="AA217">
        <f t="shared" si="20"/>
        <v>10.898706920982523</v>
      </c>
      <c r="AB217">
        <v>0.61105478378177158</v>
      </c>
    </row>
    <row r="218" spans="14:28" x14ac:dyDescent="0.3">
      <c r="N218" s="2"/>
      <c r="Z218">
        <v>2</v>
      </c>
      <c r="AA218">
        <f t="shared" si="20"/>
        <v>10.898540097402977</v>
      </c>
      <c r="AB218">
        <v>0.57534669570155927</v>
      </c>
    </row>
    <row r="219" spans="14:28" x14ac:dyDescent="0.3">
      <c r="N219" s="2"/>
      <c r="Z219">
        <v>2</v>
      </c>
      <c r="AA219">
        <f t="shared" si="20"/>
        <v>10.898321852420287</v>
      </c>
      <c r="AB219">
        <v>0.53807598563900061</v>
      </c>
    </row>
    <row r="220" spans="14:28" x14ac:dyDescent="0.3">
      <c r="N220" s="2"/>
      <c r="Z220">
        <v>2</v>
      </c>
      <c r="AA220">
        <f t="shared" si="20"/>
        <v>10.898021958378802</v>
      </c>
      <c r="AB220">
        <v>0.50014041541987242</v>
      </c>
    </row>
    <row r="221" spans="14:28" x14ac:dyDescent="0.3">
      <c r="N221" s="2"/>
      <c r="Z221">
        <v>2</v>
      </c>
      <c r="AA221">
        <f t="shared" si="20"/>
        <v>10.897608212816209</v>
      </c>
      <c r="AB221">
        <v>0.48980530792201532</v>
      </c>
    </row>
    <row r="222" spans="14:28" x14ac:dyDescent="0.3">
      <c r="N222" s="2"/>
      <c r="Z222">
        <v>2</v>
      </c>
      <c r="AA222">
        <f t="shared" si="20"/>
        <v>10.89702767507961</v>
      </c>
      <c r="AB222">
        <v>0.47952536606680624</v>
      </c>
    </row>
    <row r="223" spans="14:28" x14ac:dyDescent="0.3">
      <c r="N223" s="2"/>
      <c r="Z223">
        <v>2</v>
      </c>
      <c r="AA223">
        <f t="shared" si="20"/>
        <v>10.896200690911899</v>
      </c>
      <c r="AB223">
        <v>0.46716175694629641</v>
      </c>
    </row>
    <row r="224" spans="14:28" x14ac:dyDescent="0.3">
      <c r="N224" s="2"/>
      <c r="Z224">
        <v>2</v>
      </c>
      <c r="AA224">
        <f t="shared" si="20"/>
        <v>10.895001772032927</v>
      </c>
      <c r="AB224">
        <v>0.41106422011527588</v>
      </c>
    </row>
    <row r="225" spans="14:28" x14ac:dyDescent="0.3">
      <c r="N225" s="2"/>
      <c r="Z225">
        <v>2</v>
      </c>
      <c r="AA225">
        <f t="shared" si="20"/>
        <v>10.893230530990559</v>
      </c>
      <c r="AB225">
        <v>0.37818505232336652</v>
      </c>
    </row>
    <row r="226" spans="14:28" x14ac:dyDescent="0.3">
      <c r="N226" s="2"/>
      <c r="Z226">
        <v>2</v>
      </c>
      <c r="AA226">
        <f t="shared" si="20"/>
        <v>10.89055940555625</v>
      </c>
      <c r="AB226">
        <v>0.32929038282229839</v>
      </c>
    </row>
    <row r="227" spans="14:28" x14ac:dyDescent="0.3">
      <c r="N227" s="2"/>
      <c r="Z227">
        <v>2</v>
      </c>
      <c r="AA227">
        <f t="shared" si="20"/>
        <v>10.886442295177631</v>
      </c>
      <c r="AB227">
        <v>0.31208377348349114</v>
      </c>
    </row>
    <row r="228" spans="14:28" x14ac:dyDescent="0.3">
      <c r="N228" s="2"/>
      <c r="Z228">
        <v>1</v>
      </c>
      <c r="AA228">
        <f>$X$51*Z228-W56</f>
        <v>6.0211325665145639</v>
      </c>
      <c r="AB228">
        <f>Y56</f>
        <v>0.97285452842383113</v>
      </c>
    </row>
    <row r="229" spans="14:28" x14ac:dyDescent="0.3">
      <c r="Z229">
        <v>1</v>
      </c>
      <c r="AA229">
        <f t="shared" ref="AA229:AA270" si="21">$X$51*Z229-W57</f>
        <v>4.8781325665145641</v>
      </c>
      <c r="AB229">
        <f>Y56</f>
        <v>0.97285452842383113</v>
      </c>
    </row>
    <row r="230" spans="14:28" x14ac:dyDescent="0.3">
      <c r="Z230">
        <v>1</v>
      </c>
      <c r="AA230">
        <f t="shared" si="21"/>
        <v>4.8781325665145641</v>
      </c>
      <c r="AB230">
        <v>0.97285452842383113</v>
      </c>
    </row>
    <row r="231" spans="14:28" x14ac:dyDescent="0.3">
      <c r="Z231">
        <v>1</v>
      </c>
      <c r="AA231">
        <f t="shared" si="21"/>
        <v>4.8781315665145639</v>
      </c>
      <c r="AB231">
        <v>0.95431555062431983</v>
      </c>
    </row>
    <row r="232" spans="14:28" x14ac:dyDescent="0.3">
      <c r="Z232">
        <v>1</v>
      </c>
      <c r="AA232">
        <f t="shared" si="21"/>
        <v>4.8781305665145638</v>
      </c>
      <c r="AB232">
        <v>0.94526523863597467</v>
      </c>
    </row>
    <row r="233" spans="14:28" x14ac:dyDescent="0.3">
      <c r="Z233">
        <v>1</v>
      </c>
      <c r="AA233">
        <f t="shared" si="21"/>
        <v>4.8781295665145645</v>
      </c>
      <c r="AB233">
        <v>0.93900304266325696</v>
      </c>
    </row>
    <row r="234" spans="14:28" x14ac:dyDescent="0.3">
      <c r="Z234">
        <v>1</v>
      </c>
      <c r="AA234">
        <f t="shared" si="21"/>
        <v>4.8781285665145644</v>
      </c>
      <c r="AB234">
        <v>0.93408397023448453</v>
      </c>
    </row>
    <row r="235" spans="14:28" x14ac:dyDescent="0.3">
      <c r="Z235">
        <v>1</v>
      </c>
      <c r="AA235">
        <f t="shared" si="21"/>
        <v>4.8781274314320884</v>
      </c>
      <c r="AB235">
        <v>0.92997640409739935</v>
      </c>
    </row>
    <row r="236" spans="14:28" x14ac:dyDescent="0.3">
      <c r="Z236">
        <v>1</v>
      </c>
      <c r="AA236">
        <f t="shared" si="21"/>
        <v>4.8781261772543711</v>
      </c>
      <c r="AB236">
        <v>0.92642012673556284</v>
      </c>
    </row>
    <row r="237" spans="14:28" x14ac:dyDescent="0.3">
      <c r="Z237">
        <v>1</v>
      </c>
      <c r="AA237">
        <f t="shared" si="21"/>
        <v>4.8781248523096394</v>
      </c>
      <c r="AB237">
        <v>0.92266674638686008</v>
      </c>
    </row>
    <row r="238" spans="14:28" x14ac:dyDescent="0.3">
      <c r="Z238">
        <v>1</v>
      </c>
      <c r="AA238">
        <f t="shared" si="21"/>
        <v>4.878123354812459</v>
      </c>
      <c r="AB238">
        <v>0.91859627482476058</v>
      </c>
    </row>
    <row r="239" spans="14:28" x14ac:dyDescent="0.3">
      <c r="Z239">
        <v>1</v>
      </c>
      <c r="AA239">
        <f t="shared" si="21"/>
        <v>4.8781216406392307</v>
      </c>
      <c r="AB239">
        <v>0.91418936410388296</v>
      </c>
    </row>
    <row r="240" spans="14:28" x14ac:dyDescent="0.3">
      <c r="Z240">
        <v>1</v>
      </c>
      <c r="AA240">
        <f t="shared" si="21"/>
        <v>4.8781196555573949</v>
      </c>
      <c r="AB240">
        <v>0.90940513673670975</v>
      </c>
    </row>
    <row r="241" spans="26:28" x14ac:dyDescent="0.3">
      <c r="Z241">
        <v>1</v>
      </c>
      <c r="AA241">
        <f t="shared" si="21"/>
        <v>4.8781173381781526</v>
      </c>
      <c r="AB241">
        <v>0.90420069923335833</v>
      </c>
    </row>
    <row r="242" spans="26:28" x14ac:dyDescent="0.3">
      <c r="Z242">
        <v>1</v>
      </c>
      <c r="AA242">
        <f t="shared" si="21"/>
        <v>4.8781146145958356</v>
      </c>
      <c r="AB242">
        <v>0.89852690215880404</v>
      </c>
    </row>
    <row r="243" spans="26:28" x14ac:dyDescent="0.3">
      <c r="Z243">
        <v>1</v>
      </c>
      <c r="AA243">
        <f t="shared" si="21"/>
        <v>4.8781113944465178</v>
      </c>
      <c r="AB243">
        <v>0.8923280452550667</v>
      </c>
    </row>
    <row r="244" spans="26:28" x14ac:dyDescent="0.3">
      <c r="Z244">
        <v>1</v>
      </c>
      <c r="AA244">
        <f t="shared" si="21"/>
        <v>4.8781075659624191</v>
      </c>
      <c r="AB244">
        <v>0.88554071237913856</v>
      </c>
    </row>
    <row r="245" spans="26:28" x14ac:dyDescent="0.3">
      <c r="Z245">
        <v>1</v>
      </c>
      <c r="AA245">
        <f t="shared" si="21"/>
        <v>4.8781029897843577</v>
      </c>
      <c r="AB245">
        <v>0.8813042663320827</v>
      </c>
    </row>
    <row r="246" spans="26:28" x14ac:dyDescent="0.3">
      <c r="Z246">
        <v>1</v>
      </c>
      <c r="AA246">
        <f t="shared" si="21"/>
        <v>4.8780974909590373</v>
      </c>
      <c r="AB246">
        <v>0.87271763611255715</v>
      </c>
    </row>
    <row r="247" spans="26:28" x14ac:dyDescent="0.3">
      <c r="Z247">
        <v>1</v>
      </c>
      <c r="AA247">
        <f t="shared" si="21"/>
        <v>4.8780908484520422</v>
      </c>
      <c r="AB247">
        <v>0.86503915102175011</v>
      </c>
    </row>
    <row r="248" spans="26:28" x14ac:dyDescent="0.3">
      <c r="Z248">
        <v>1</v>
      </c>
      <c r="AA248">
        <f t="shared" si="21"/>
        <v>4.8780827812678487</v>
      </c>
      <c r="AB248">
        <v>0.8552394874830842</v>
      </c>
    </row>
    <row r="249" spans="26:28" x14ac:dyDescent="0.3">
      <c r="Z249">
        <v>1</v>
      </c>
      <c r="AA249">
        <f t="shared" si="21"/>
        <v>4.8780729299240946</v>
      </c>
      <c r="AB249">
        <v>0.84473316333568194</v>
      </c>
    </row>
    <row r="250" spans="26:28" x14ac:dyDescent="0.3">
      <c r="Z250">
        <v>1</v>
      </c>
      <c r="AA250">
        <f t="shared" si="21"/>
        <v>4.8780608315258238</v>
      </c>
      <c r="AB250">
        <v>0.83299431723518536</v>
      </c>
    </row>
    <row r="251" spans="26:28" x14ac:dyDescent="0.3">
      <c r="Z251">
        <v>1</v>
      </c>
      <c r="AA251">
        <f t="shared" si="21"/>
        <v>4.8780458859558387</v>
      </c>
      <c r="AB251">
        <v>0.81997680259060624</v>
      </c>
    </row>
    <row r="252" spans="26:28" x14ac:dyDescent="0.3">
      <c r="Z252">
        <v>1</v>
      </c>
      <c r="AA252">
        <f t="shared" si="21"/>
        <v>4.8780273096284761</v>
      </c>
      <c r="AB252">
        <v>0.80547458016927453</v>
      </c>
    </row>
    <row r="253" spans="26:28" x14ac:dyDescent="0.3">
      <c r="Z253">
        <v>1</v>
      </c>
      <c r="AA253">
        <f t="shared" si="21"/>
        <v>4.8780040716727386</v>
      </c>
      <c r="AB253">
        <v>0.7893006424971396</v>
      </c>
    </row>
    <row r="254" spans="26:28" x14ac:dyDescent="0.3">
      <c r="Z254">
        <v>1</v>
      </c>
      <c r="AA254">
        <f t="shared" si="21"/>
        <v>4.8779748050461684</v>
      </c>
      <c r="AB254">
        <v>0.77123212562617249</v>
      </c>
    </row>
    <row r="255" spans="26:28" x14ac:dyDescent="0.3">
      <c r="Z255">
        <v>1</v>
      </c>
      <c r="AA255">
        <f t="shared" si="21"/>
        <v>4.8779376815036297</v>
      </c>
      <c r="AB255">
        <v>0.75103257945464996</v>
      </c>
    </row>
    <row r="256" spans="26:28" x14ac:dyDescent="0.3">
      <c r="Z256">
        <v>1</v>
      </c>
      <c r="AA256">
        <f t="shared" si="21"/>
        <v>4.8778902338658217</v>
      </c>
      <c r="AB256">
        <v>0.72845568886957368</v>
      </c>
    </row>
    <row r="257" spans="26:28" x14ac:dyDescent="0.3">
      <c r="Z257">
        <v>1</v>
      </c>
      <c r="AA257">
        <f t="shared" si="21"/>
        <v>4.8778291005264975</v>
      </c>
      <c r="AB257">
        <v>0.70327127069389761</v>
      </c>
    </row>
    <row r="258" spans="26:28" x14ac:dyDescent="0.3">
      <c r="Z258">
        <v>1</v>
      </c>
      <c r="AA258">
        <f t="shared" si="21"/>
        <v>4.8777856228830307</v>
      </c>
      <c r="AB258">
        <v>0.67530676092515485</v>
      </c>
    </row>
    <row r="259" spans="26:28" x14ac:dyDescent="0.3">
      <c r="Z259">
        <v>1</v>
      </c>
      <c r="AA259">
        <f t="shared" si="21"/>
        <v>4.8776834132753475</v>
      </c>
      <c r="AB259">
        <v>0.64451521279243373</v>
      </c>
    </row>
    <row r="260" spans="26:28" x14ac:dyDescent="0.3">
      <c r="Z260">
        <v>1</v>
      </c>
      <c r="AA260">
        <f t="shared" si="21"/>
        <v>4.8775743544679582</v>
      </c>
      <c r="AB260">
        <v>0.61105478378177158</v>
      </c>
    </row>
    <row r="261" spans="26:28" x14ac:dyDescent="0.3">
      <c r="Z261">
        <v>1</v>
      </c>
      <c r="AA261">
        <f t="shared" si="21"/>
        <v>4.8774075308884131</v>
      </c>
      <c r="AB261">
        <v>0.57534669570155927</v>
      </c>
    </row>
    <row r="262" spans="26:28" x14ac:dyDescent="0.3">
      <c r="Z262">
        <v>1</v>
      </c>
      <c r="AA262">
        <f t="shared" si="21"/>
        <v>4.8771892859057235</v>
      </c>
      <c r="AB262">
        <v>0.53807598563900061</v>
      </c>
    </row>
    <row r="263" spans="26:28" x14ac:dyDescent="0.3">
      <c r="Z263">
        <v>1</v>
      </c>
      <c r="AA263">
        <f t="shared" si="21"/>
        <v>4.8768893918642382</v>
      </c>
      <c r="AB263">
        <v>0.50014041541987242</v>
      </c>
    </row>
    <row r="264" spans="26:28" x14ac:dyDescent="0.3">
      <c r="Z264">
        <v>1</v>
      </c>
      <c r="AA264">
        <f t="shared" si="21"/>
        <v>4.8764756463016452</v>
      </c>
      <c r="AB264">
        <v>0.48980530792201532</v>
      </c>
    </row>
    <row r="265" spans="26:28" x14ac:dyDescent="0.3">
      <c r="Z265">
        <v>1</v>
      </c>
      <c r="AA265">
        <f t="shared" si="21"/>
        <v>4.8758951085650466</v>
      </c>
      <c r="AB265">
        <v>0.47952536606680624</v>
      </c>
    </row>
    <row r="266" spans="26:28" x14ac:dyDescent="0.3">
      <c r="Z266">
        <v>1</v>
      </c>
      <c r="AA266">
        <f t="shared" si="21"/>
        <v>4.8750681243973348</v>
      </c>
      <c r="AB266">
        <v>0.46716175694629641</v>
      </c>
    </row>
    <row r="267" spans="26:28" x14ac:dyDescent="0.3">
      <c r="Z267">
        <v>1</v>
      </c>
      <c r="AA267">
        <f t="shared" si="21"/>
        <v>4.8738692055183623</v>
      </c>
      <c r="AB267">
        <v>0.41106422011527588</v>
      </c>
    </row>
    <row r="268" spans="26:28" x14ac:dyDescent="0.3">
      <c r="Z268">
        <v>1</v>
      </c>
      <c r="AA268">
        <f t="shared" si="21"/>
        <v>4.8720979644759952</v>
      </c>
      <c r="AB268">
        <v>0.37818505232336652</v>
      </c>
    </row>
    <row r="269" spans="26:28" x14ac:dyDescent="0.3">
      <c r="Z269">
        <v>1</v>
      </c>
      <c r="AA269">
        <f t="shared" si="21"/>
        <v>4.8694268390416857</v>
      </c>
      <c r="AB269">
        <v>0.32929038282229839</v>
      </c>
    </row>
    <row r="270" spans="26:28" x14ac:dyDescent="0.3">
      <c r="Z270">
        <v>1</v>
      </c>
      <c r="AA270">
        <f t="shared" si="21"/>
        <v>4.8653097286630667</v>
      </c>
      <c r="AB270">
        <v>0.31208377348349114</v>
      </c>
    </row>
  </sheetData>
  <hyperlinks>
    <hyperlink ref="F54" r:id="rId1"/>
    <hyperlink ref="F55" r:id="rId2"/>
    <hyperlink ref="F56" r:id="rId3"/>
    <hyperlink ref="F58" r:id="rId4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1:AX731"/>
  <sheetViews>
    <sheetView topLeftCell="F53" zoomScale="145" zoomScaleNormal="145" workbookViewId="0">
      <selection activeCell="R55" sqref="R55"/>
    </sheetView>
  </sheetViews>
  <sheetFormatPr defaultRowHeight="14.4" x14ac:dyDescent="0.3"/>
  <cols>
    <col min="5" max="5" width="20.33203125" customWidth="1"/>
    <col min="6" max="6" width="15.88671875" customWidth="1"/>
    <col min="7" max="7" width="13.33203125" customWidth="1"/>
    <col min="12" max="12" width="12.6640625" bestFit="1" customWidth="1"/>
    <col min="13" max="13" width="12" bestFit="1" customWidth="1"/>
    <col min="15" max="15" width="12" bestFit="1" customWidth="1"/>
    <col min="16" max="16" width="12.6640625" bestFit="1" customWidth="1"/>
    <col min="28" max="28" width="13" bestFit="1" customWidth="1"/>
    <col min="30" max="30" width="11.109375" bestFit="1" customWidth="1"/>
  </cols>
  <sheetData>
    <row r="1" spans="3:26" ht="317.25" customHeight="1" x14ac:dyDescent="0.3">
      <c r="G1">
        <f>COLUMN()</f>
        <v>7</v>
      </c>
    </row>
    <row r="4" spans="3:26" x14ac:dyDescent="0.3">
      <c r="Z4">
        <f>cal_hE(Y7, $G$36, $G$14,$G$15, $G$6,$G$10, $G$9, $G$7,$G$35,$G$29, $G$31 )</f>
        <v>0.31198662998940269</v>
      </c>
    </row>
    <row r="5" spans="3:26" x14ac:dyDescent="0.3">
      <c r="C5">
        <v>1</v>
      </c>
      <c r="D5">
        <v>1</v>
      </c>
      <c r="F5" t="s">
        <v>63</v>
      </c>
      <c r="G5">
        <v>3.6499999999999998E-2</v>
      </c>
      <c r="H5" t="s">
        <v>64</v>
      </c>
    </row>
    <row r="6" spans="3:26" x14ac:dyDescent="0.3">
      <c r="F6" t="s">
        <v>40</v>
      </c>
      <c r="G6">
        <v>9.8000000000000007</v>
      </c>
      <c r="H6" t="s">
        <v>41</v>
      </c>
      <c r="N6" t="s">
        <v>48</v>
      </c>
      <c r="O6" t="s">
        <v>49</v>
      </c>
      <c r="Q6" t="s">
        <v>48</v>
      </c>
      <c r="R6" t="s">
        <v>49</v>
      </c>
    </row>
    <row r="7" spans="3:26" x14ac:dyDescent="0.3">
      <c r="F7" t="s">
        <v>32</v>
      </c>
      <c r="G7">
        <f>G8/180*PI()</f>
        <v>0</v>
      </c>
      <c r="H7" t="s">
        <v>39</v>
      </c>
      <c r="N7">
        <v>1E-4</v>
      </c>
      <c r="O7">
        <f>f_h_c(N7,$G$36,$G$14,$G$6,$G$10,$G$9,$G$7)</f>
        <v>139824766825.61978</v>
      </c>
      <c r="P7" s="2" t="e">
        <f>Cal_hC_TTBN(N7*$G$9)</f>
        <v>#VALUE!</v>
      </c>
      <c r="Q7">
        <v>1</v>
      </c>
      <c r="R7">
        <f>f_h_c(Q7,$G$36,$G$14,$G$6,$G$10,$G$9,$G$7)</f>
        <v>-11.172899914099824</v>
      </c>
      <c r="V7">
        <v>0.8</v>
      </c>
      <c r="W7" s="2">
        <f>f_h_e(V7, $G$36, $G$14,$G$15, $G$6,$G$10, $G$9, $G$7,$G$35,$G$29, $G$31 )</f>
        <v>-1.3699723277230804</v>
      </c>
      <c r="Y7">
        <v>0.17</v>
      </c>
      <c r="Z7" s="2">
        <f>f_h_e(Y7, $G$36, $G$14,$G$15, $G$6,$G$10, $G$9, $G$7,$G$35,$G$29, $G$31 )</f>
        <v>3.0364890878482109</v>
      </c>
    </row>
    <row r="8" spans="3:26" x14ac:dyDescent="0.3">
      <c r="F8" t="s">
        <v>32</v>
      </c>
      <c r="G8">
        <v>0</v>
      </c>
      <c r="H8" t="s">
        <v>31</v>
      </c>
      <c r="N8">
        <f>0.05+N7</f>
        <v>5.0100000000000006E-2</v>
      </c>
      <c r="O8">
        <f>f_h_c(N8,$G$36,$G$14,$G$6,$G$10,$G$9,$G$7)</f>
        <v>25008.964058750797</v>
      </c>
      <c r="P8" s="2"/>
      <c r="Q8">
        <f>Q7-0.0005</f>
        <v>0.99950000000000006</v>
      </c>
      <c r="R8">
        <f t="shared" ref="R8:R33" si="0">f_h_c(Q8,$G$36,$G$14,$G$6,$G$10,$G$9,$G$7)</f>
        <v>-10.271800805645929</v>
      </c>
      <c r="V8">
        <f>V7-0.05</f>
        <v>0.75</v>
      </c>
      <c r="W8" s="2">
        <f t="shared" ref="W8:W22" si="1">f_h_e(V8, $G$36, $G$14,$G$15, $G$6,$G$10, $G$9, $G$7,$G$35,$G$29, $G$31 )</f>
        <v>-1.267683254498275</v>
      </c>
      <c r="Y8">
        <f>Y7-0.001</f>
        <v>0.16900000000000001</v>
      </c>
      <c r="Z8" s="2">
        <f t="shared" ref="Z8:Z47" si="2">f_h_e(Y8, $G$36, $G$14,$G$15, $G$6,$G$10, $G$9, $G$7,$G$35,$G$29, $G$31 )</f>
        <v>3.0883675735506042</v>
      </c>
    </row>
    <row r="9" spans="3:26" x14ac:dyDescent="0.3">
      <c r="F9" t="s">
        <v>0</v>
      </c>
      <c r="G9">
        <f>1.5*0.0254</f>
        <v>3.8099999999999995E-2</v>
      </c>
      <c r="H9" t="s">
        <v>1</v>
      </c>
      <c r="N9">
        <f t="shared" ref="N9:N25" si="3">0.05+N8</f>
        <v>0.10010000000000001</v>
      </c>
      <c r="O9">
        <f t="shared" ref="O9:O27" si="4">f_h_c(N9,$G$36,$G$14,$G$6,$G$10,$G$9,$G$7)</f>
        <v>4451.6276989689277</v>
      </c>
      <c r="P9" s="2"/>
      <c r="Q9">
        <f t="shared" ref="Q9:Q33" si="5">Q8-0.0005</f>
        <v>0.99900000000000011</v>
      </c>
      <c r="R9">
        <f t="shared" si="0"/>
        <v>-9.8984838942020144</v>
      </c>
      <c r="V9">
        <f t="shared" ref="V9:V22" si="6">V8-0.05</f>
        <v>0.7</v>
      </c>
      <c r="W9" s="2">
        <f t="shared" si="1"/>
        <v>-1.1759634492558326</v>
      </c>
      <c r="Y9">
        <f t="shared" ref="Y9:Y47" si="7">Y8-0.001</f>
        <v>0.16800000000000001</v>
      </c>
      <c r="Z9" s="2">
        <f t="shared" si="2"/>
        <v>3.141189638522623</v>
      </c>
    </row>
    <row r="10" spans="3:26" x14ac:dyDescent="0.3">
      <c r="F10" t="s">
        <v>2</v>
      </c>
      <c r="G10">
        <f>PI()*G9^2/4</f>
        <v>1.1400918279693697E-3</v>
      </c>
      <c r="H10" t="s">
        <v>3</v>
      </c>
      <c r="I10">
        <f>G10*100*100</f>
        <v>11.400918279693698</v>
      </c>
      <c r="N10">
        <f t="shared" si="3"/>
        <v>0.15010000000000001</v>
      </c>
      <c r="O10">
        <f t="shared" si="4"/>
        <v>1622.6284503360077</v>
      </c>
      <c r="P10" s="2"/>
      <c r="Q10">
        <f t="shared" si="5"/>
        <v>0.99850000000000017</v>
      </c>
      <c r="R10">
        <f t="shared" si="0"/>
        <v>-9.6119487454688848</v>
      </c>
      <c r="V10">
        <f t="shared" si="6"/>
        <v>0.64999999999999991</v>
      </c>
      <c r="W10" s="2">
        <f t="shared" si="1"/>
        <v>-1.0889811319844567</v>
      </c>
      <c r="Y10">
        <f t="shared" si="7"/>
        <v>0.16700000000000001</v>
      </c>
      <c r="Z10" s="2">
        <f t="shared" si="2"/>
        <v>3.19497811969585</v>
      </c>
    </row>
    <row r="11" spans="3:26" x14ac:dyDescent="0.3">
      <c r="F11" t="s">
        <v>4</v>
      </c>
      <c r="G11">
        <v>1</v>
      </c>
      <c r="H11" t="s">
        <v>5</v>
      </c>
      <c r="N11">
        <f t="shared" si="3"/>
        <v>0.2001</v>
      </c>
      <c r="O11">
        <f t="shared" si="4"/>
        <v>792.569645554153</v>
      </c>
      <c r="P11" s="2"/>
      <c r="Q11">
        <f t="shared" si="5"/>
        <v>0.99800000000000022</v>
      </c>
      <c r="R11">
        <f t="shared" si="0"/>
        <v>-9.3703045709725181</v>
      </c>
      <c r="V11">
        <f t="shared" si="6"/>
        <v>0.59999999999999987</v>
      </c>
      <c r="W11" s="2">
        <f t="shared" si="1"/>
        <v>-1.0015650331616814</v>
      </c>
      <c r="Y11">
        <f t="shared" si="7"/>
        <v>0.16600000000000001</v>
      </c>
      <c r="Z11" s="2">
        <f t="shared" si="2"/>
        <v>3.2497565453498742</v>
      </c>
    </row>
    <row r="12" spans="3:26" x14ac:dyDescent="0.3">
      <c r="F12" t="s">
        <v>6</v>
      </c>
      <c r="G12">
        <f>G11*G10</f>
        <v>1.1400918279693697E-3</v>
      </c>
      <c r="H12" t="s">
        <v>7</v>
      </c>
      <c r="N12">
        <f t="shared" si="3"/>
        <v>0.25009999999999999</v>
      </c>
      <c r="O12">
        <f t="shared" si="4"/>
        <v>453.90151085853336</v>
      </c>
      <c r="P12" s="2"/>
      <c r="Q12">
        <f t="shared" si="5"/>
        <v>0.99750000000000028</v>
      </c>
      <c r="R12">
        <f t="shared" si="0"/>
        <v>-9.1573251338983894</v>
      </c>
      <c r="V12">
        <f t="shared" si="6"/>
        <v>0.54999999999999982</v>
      </c>
      <c r="W12" s="2">
        <f t="shared" si="1"/>
        <v>-0.90811089282472313</v>
      </c>
      <c r="Y12">
        <f t="shared" si="7"/>
        <v>0.16500000000000001</v>
      </c>
      <c r="Z12" s="2">
        <f t="shared" si="2"/>
        <v>3.3055491603441731</v>
      </c>
    </row>
    <row r="13" spans="3:26" x14ac:dyDescent="0.3">
      <c r="F13" t="s">
        <v>6</v>
      </c>
      <c r="G13">
        <f>G12*1000*60/3.78541</f>
        <v>18.070832400760334</v>
      </c>
      <c r="H13" t="s">
        <v>8</v>
      </c>
      <c r="N13">
        <f t="shared" si="3"/>
        <v>0.30009999999999998</v>
      </c>
      <c r="O13">
        <f t="shared" si="4"/>
        <v>287.00601627601196</v>
      </c>
      <c r="P13" s="2"/>
      <c r="Q13">
        <f t="shared" si="5"/>
        <v>0.99700000000000033</v>
      </c>
      <c r="R13">
        <f t="shared" si="0"/>
        <v>-8.9646885523103546</v>
      </c>
      <c r="V13">
        <f t="shared" si="6"/>
        <v>0.49999999999999983</v>
      </c>
      <c r="W13" s="2">
        <f t="shared" si="1"/>
        <v>-0.80144627159686699</v>
      </c>
      <c r="Y13">
        <f t="shared" si="7"/>
        <v>0.16400000000000001</v>
      </c>
      <c r="Z13" s="2">
        <f t="shared" si="2"/>
        <v>3.3623809524302795</v>
      </c>
    </row>
    <row r="14" spans="3:26" x14ac:dyDescent="0.3">
      <c r="F14" t="s">
        <v>22</v>
      </c>
      <c r="G14">
        <v>1000</v>
      </c>
      <c r="H14" t="s">
        <v>24</v>
      </c>
      <c r="N14">
        <f t="shared" si="3"/>
        <v>0.35009999999999997</v>
      </c>
      <c r="O14">
        <f t="shared" si="4"/>
        <v>193.92646175458992</v>
      </c>
      <c r="P14" s="2"/>
      <c r="Q14">
        <f t="shared" si="5"/>
        <v>0.99650000000000039</v>
      </c>
      <c r="R14">
        <f t="shared" si="0"/>
        <v>-8.7874512084094221</v>
      </c>
      <c r="V14">
        <f t="shared" si="6"/>
        <v>0.44999999999999984</v>
      </c>
      <c r="W14" s="2">
        <f t="shared" si="1"/>
        <v>-0.67115885273661902</v>
      </c>
      <c r="Y14">
        <f t="shared" si="7"/>
        <v>0.16300000000000001</v>
      </c>
      <c r="Z14" s="2">
        <f t="shared" si="2"/>
        <v>3.4202776796974188</v>
      </c>
    </row>
    <row r="15" spans="3:26" x14ac:dyDescent="0.3">
      <c r="F15" t="s">
        <v>23</v>
      </c>
      <c r="G15">
        <v>0.05</v>
      </c>
      <c r="H15" t="s">
        <v>16</v>
      </c>
      <c r="N15">
        <f t="shared" si="3"/>
        <v>0.40009999999999996</v>
      </c>
      <c r="O15">
        <f t="shared" si="4"/>
        <v>137.22866084661615</v>
      </c>
      <c r="P15" s="2"/>
      <c r="Q15">
        <f t="shared" si="5"/>
        <v>0.99600000000000044</v>
      </c>
      <c r="R15">
        <f t="shared" si="0"/>
        <v>-8.6223920423543614</v>
      </c>
      <c r="V15">
        <f t="shared" si="6"/>
        <v>0.39999999999999986</v>
      </c>
      <c r="W15" s="2">
        <f t="shared" si="1"/>
        <v>-0.50059638760807623</v>
      </c>
      <c r="Y15">
        <f t="shared" si="7"/>
        <v>0.16200000000000001</v>
      </c>
      <c r="Z15" s="2">
        <f t="shared" si="2"/>
        <v>3.4792658992077126</v>
      </c>
    </row>
    <row r="16" spans="3:26" x14ac:dyDescent="0.3">
      <c r="F16" t="s">
        <v>17</v>
      </c>
      <c r="G16">
        <v>1</v>
      </c>
      <c r="H16" t="s">
        <v>5</v>
      </c>
      <c r="J16">
        <v>1</v>
      </c>
      <c r="N16">
        <f t="shared" si="3"/>
        <v>0.45009999999999994</v>
      </c>
      <c r="O16">
        <f t="shared" si="4"/>
        <v>100.30973401526127</v>
      </c>
      <c r="P16" s="2"/>
      <c r="Q16">
        <f t="shared" si="5"/>
        <v>0.9955000000000005</v>
      </c>
      <c r="R16">
        <f t="shared" si="0"/>
        <v>-8.4672736885412743</v>
      </c>
      <c r="V16">
        <f t="shared" si="6"/>
        <v>0.34999999999999987</v>
      </c>
      <c r="W16" s="2">
        <f t="shared" si="1"/>
        <v>-0.26078982812873397</v>
      </c>
      <c r="Y16">
        <f t="shared" si="7"/>
        <v>0.161</v>
      </c>
      <c r="Z16" s="2">
        <f t="shared" si="2"/>
        <v>3.539372996880255</v>
      </c>
    </row>
    <row r="17" spans="5:26" x14ac:dyDescent="0.3">
      <c r="F17" t="s">
        <v>18</v>
      </c>
      <c r="G17">
        <f>G16*G10</f>
        <v>1.1400918279693697E-3</v>
      </c>
      <c r="H17" t="s">
        <v>7</v>
      </c>
      <c r="J17">
        <f>J16/0.3048^3</f>
        <v>35.314666721488585</v>
      </c>
      <c r="K17" t="s">
        <v>19</v>
      </c>
      <c r="N17">
        <f t="shared" si="3"/>
        <v>0.50009999999999999</v>
      </c>
      <c r="O17">
        <f t="shared" si="4"/>
        <v>74.965977412123578</v>
      </c>
      <c r="P17" s="2"/>
      <c r="Q17">
        <f t="shared" si="5"/>
        <v>0.99500000000000055</v>
      </c>
      <c r="R17">
        <f t="shared" si="0"/>
        <v>-8.3204671301000523</v>
      </c>
      <c r="V17">
        <f t="shared" si="6"/>
        <v>0.29999999999999988</v>
      </c>
      <c r="W17" s="2">
        <f t="shared" si="1"/>
        <v>0.10320848674945178</v>
      </c>
      <c r="Y17">
        <f t="shared" si="7"/>
        <v>0.16</v>
      </c>
      <c r="Z17" s="2">
        <f t="shared" si="2"/>
        <v>3.6006272186867143</v>
      </c>
    </row>
    <row r="18" spans="5:26" x14ac:dyDescent="0.3">
      <c r="F18" t="s">
        <v>18</v>
      </c>
      <c r="G18">
        <f>G17*60/0.3048^3</f>
        <v>2.4157177761978592</v>
      </c>
      <c r="H18" t="s">
        <v>20</v>
      </c>
      <c r="N18">
        <f t="shared" si="3"/>
        <v>0.55010000000000003</v>
      </c>
      <c r="O18">
        <f t="shared" si="4"/>
        <v>56.795928474298996</v>
      </c>
      <c r="P18" s="2"/>
      <c r="Q18">
        <f t="shared" si="5"/>
        <v>0.99450000000000061</v>
      </c>
      <c r="R18">
        <f t="shared" si="0"/>
        <v>-8.1807425892427652</v>
      </c>
      <c r="V18">
        <f t="shared" si="6"/>
        <v>0.24999999999999989</v>
      </c>
      <c r="W18" s="2">
        <f t="shared" si="1"/>
        <v>0.70689030954869292</v>
      </c>
      <c r="Y18">
        <f t="shared" si="7"/>
        <v>0.159</v>
      </c>
      <c r="Z18" s="2">
        <f t="shared" si="2"/>
        <v>3.6630577032245006</v>
      </c>
    </row>
    <row r="19" spans="5:26" x14ac:dyDescent="0.3">
      <c r="F19" t="s">
        <v>14</v>
      </c>
      <c r="G19">
        <f>28.9645</f>
        <v>28.964500000000001</v>
      </c>
      <c r="N19">
        <f t="shared" si="3"/>
        <v>0.60010000000000008</v>
      </c>
      <c r="O19">
        <f t="shared" si="4"/>
        <v>43.278688124995888</v>
      </c>
      <c r="P19" s="2"/>
      <c r="Q19">
        <f t="shared" si="5"/>
        <v>0.99400000000000066</v>
      </c>
      <c r="R19">
        <f t="shared" si="0"/>
        <v>-8.0471446510407336</v>
      </c>
      <c r="V19">
        <f t="shared" si="6"/>
        <v>0.1999999999999999</v>
      </c>
      <c r="W19" s="2">
        <f t="shared" si="1"/>
        <v>1.8282969820016082</v>
      </c>
      <c r="Y19">
        <f t="shared" si="7"/>
        <v>0.158</v>
      </c>
      <c r="Z19" s="2">
        <f t="shared" si="2"/>
        <v>3.7266945157377105</v>
      </c>
    </row>
    <row r="20" spans="5:26" x14ac:dyDescent="0.3">
      <c r="F20" t="s">
        <v>10</v>
      </c>
      <c r="G20">
        <f>101325+6894.76*(1)</f>
        <v>108219.76</v>
      </c>
      <c r="N20">
        <f t="shared" si="3"/>
        <v>0.65010000000000012</v>
      </c>
      <c r="O20">
        <f t="shared" si="4"/>
        <v>32.890298409887862</v>
      </c>
      <c r="P20" s="2"/>
      <c r="Q20">
        <f t="shared" si="5"/>
        <v>0.99350000000000072</v>
      </c>
      <c r="R20">
        <f t="shared" si="0"/>
        <v>-7.9189135252407894</v>
      </c>
      <c r="V20">
        <f t="shared" si="6"/>
        <v>0.14999999999999991</v>
      </c>
      <c r="W20" s="2">
        <f t="shared" si="1"/>
        <v>4.2831601416095832</v>
      </c>
      <c r="Y20">
        <f t="shared" si="7"/>
        <v>0.157</v>
      </c>
      <c r="Z20" s="2">
        <f t="shared" si="2"/>
        <v>3.7915686836594915</v>
      </c>
    </row>
    <row r="21" spans="5:26" x14ac:dyDescent="0.3">
      <c r="F21" t="s">
        <v>11</v>
      </c>
      <c r="G21">
        <v>293.14999999999998</v>
      </c>
      <c r="N21">
        <f>0.05+N20</f>
        <v>0.70010000000000017</v>
      </c>
      <c r="O21">
        <f t="shared" si="4"/>
        <v>24.664644890747457</v>
      </c>
      <c r="P21" s="2"/>
      <c r="Q21">
        <f t="shared" si="5"/>
        <v>0.99300000000000077</v>
      </c>
      <c r="R21">
        <f t="shared" si="0"/>
        <v>-7.7954331784819173</v>
      </c>
      <c r="V21">
        <f t="shared" si="6"/>
        <v>9.9999999999999908E-2</v>
      </c>
      <c r="W21" s="2">
        <f t="shared" si="1"/>
        <v>15.325296219182437</v>
      </c>
      <c r="Y21">
        <f t="shared" si="7"/>
        <v>0.156</v>
      </c>
      <c r="Z21" s="2">
        <f t="shared" si="2"/>
        <v>3.8577122337544689</v>
      </c>
    </row>
    <row r="22" spans="5:26" x14ac:dyDescent="0.3">
      <c r="F22" t="s">
        <v>12</v>
      </c>
      <c r="G22">
        <v>8314.4621750000006</v>
      </c>
      <c r="H22" t="s">
        <v>13</v>
      </c>
      <c r="N22">
        <f t="shared" si="3"/>
        <v>0.75010000000000021</v>
      </c>
      <c r="O22">
        <f t="shared" si="4"/>
        <v>17.959653759528756</v>
      </c>
      <c r="P22" s="2"/>
      <c r="Q22">
        <f t="shared" si="5"/>
        <v>0.99250000000000083</v>
      </c>
      <c r="R22">
        <f t="shared" si="0"/>
        <v>-7.6761959129085158</v>
      </c>
      <c r="V22">
        <f t="shared" si="6"/>
        <v>4.9999999999999906E-2</v>
      </c>
      <c r="W22" s="2">
        <f t="shared" si="1"/>
        <v>100.60702123839343</v>
      </c>
      <c r="Y22">
        <f t="shared" si="7"/>
        <v>0.155</v>
      </c>
      <c r="Z22" s="2">
        <f t="shared" si="2"/>
        <v>3.9251582309436621</v>
      </c>
    </row>
    <row r="23" spans="5:26" x14ac:dyDescent="0.3">
      <c r="F23" t="s">
        <v>9</v>
      </c>
      <c r="G23">
        <f>G20*G19/G22/G21</f>
        <v>1.2860224257390864</v>
      </c>
      <c r="H23" t="s">
        <v>24</v>
      </c>
      <c r="N23">
        <f t="shared" si="3"/>
        <v>0.80010000000000026</v>
      </c>
      <c r="O23">
        <f t="shared" si="4"/>
        <v>12.322664251340655</v>
      </c>
      <c r="P23" s="2"/>
      <c r="Q23">
        <f t="shared" si="5"/>
        <v>0.99200000000000088</v>
      </c>
      <c r="R23">
        <f t="shared" si="0"/>
        <v>-7.5607774337847573</v>
      </c>
      <c r="W23" s="2"/>
      <c r="Y23">
        <f t="shared" si="7"/>
        <v>0.154</v>
      </c>
      <c r="Z23" s="2">
        <f t="shared" si="2"/>
        <v>3.9939408188999486</v>
      </c>
    </row>
    <row r="24" spans="5:26" x14ac:dyDescent="0.3">
      <c r="F24" t="s">
        <v>15</v>
      </c>
      <c r="G24">
        <f>18.27*0.000001</f>
        <v>1.827E-5</v>
      </c>
      <c r="H24" t="s">
        <v>16</v>
      </c>
      <c r="N24">
        <f t="shared" si="3"/>
        <v>0.8501000000000003</v>
      </c>
      <c r="O24">
        <f t="shared" si="4"/>
        <v>7.4007759573608949</v>
      </c>
      <c r="P24" s="2"/>
      <c r="Q24">
        <f t="shared" si="5"/>
        <v>0.99150000000000094</v>
      </c>
      <c r="R24">
        <f t="shared" si="0"/>
        <v>-7.4488188425692821</v>
      </c>
      <c r="W24" s="2"/>
      <c r="Y24">
        <f t="shared" si="7"/>
        <v>0.153</v>
      </c>
      <c r="Z24" s="2">
        <f t="shared" si="2"/>
        <v>4.0640952625065436</v>
      </c>
    </row>
    <row r="25" spans="5:26" x14ac:dyDescent="0.3">
      <c r="I25" t="s">
        <v>89</v>
      </c>
      <c r="J25">
        <f>(G26/G27)^(-0.2)*G14/G23*(G11/G16)^2</f>
        <v>1000.1092817547018</v>
      </c>
      <c r="N25">
        <f t="shared" si="3"/>
        <v>0.90010000000000034</v>
      </c>
      <c r="O25">
        <f t="shared" si="4"/>
        <v>2.8526819083289712</v>
      </c>
      <c r="P25" s="2"/>
      <c r="Q25">
        <f t="shared" si="5"/>
        <v>0.99100000000000099</v>
      </c>
      <c r="R25">
        <f t="shared" si="0"/>
        <v>-7.3400133400389587</v>
      </c>
      <c r="W25" s="2"/>
      <c r="Y25">
        <f t="shared" si="7"/>
        <v>0.152</v>
      </c>
      <c r="Z25" s="2">
        <f t="shared" si="2"/>
        <v>4.1356579922771592</v>
      </c>
    </row>
    <row r="26" spans="5:26" x14ac:dyDescent="0.3">
      <c r="F26" t="s">
        <v>21</v>
      </c>
      <c r="G26">
        <f>G14*G11*G9/G15</f>
        <v>761.99999999999989</v>
      </c>
      <c r="I26" t="s">
        <v>92</v>
      </c>
      <c r="J26">
        <f>J25^0.5</f>
        <v>31.624504450737277</v>
      </c>
      <c r="N26">
        <f>0.05+N25</f>
        <v>0.95010000000000039</v>
      </c>
      <c r="O26">
        <f t="shared" si="4"/>
        <v>-1.8539266082194283</v>
      </c>
      <c r="P26" s="2"/>
      <c r="Q26">
        <f t="shared" si="5"/>
        <v>0.99050000000000105</v>
      </c>
      <c r="R26">
        <f t="shared" si="0"/>
        <v>-7.2340962158616051</v>
      </c>
      <c r="W26" s="2"/>
      <c r="Y26">
        <f t="shared" si="7"/>
        <v>0.151</v>
      </c>
      <c r="Z26" s="2">
        <f t="shared" si="2"/>
        <v>4.2086666508419253</v>
      </c>
    </row>
    <row r="27" spans="5:26" x14ac:dyDescent="0.3">
      <c r="F27" t="s">
        <v>25</v>
      </c>
      <c r="G27">
        <f>G23*G16*G9/G24</f>
        <v>2681.8530060568792</v>
      </c>
      <c r="I27" s="2" t="s">
        <v>91</v>
      </c>
      <c r="J27">
        <f>2*0.046*(G27)^(-0.2)*G23*G16^2/G9</f>
        <v>0.64036030017997114</v>
      </c>
      <c r="N27">
        <v>0.97165508</v>
      </c>
      <c r="O27">
        <f t="shared" si="4"/>
        <v>-4.2868031008140832</v>
      </c>
      <c r="P27" s="2"/>
      <c r="Q27">
        <f t="shared" si="5"/>
        <v>0.9900000000000011</v>
      </c>
      <c r="R27">
        <f t="shared" si="0"/>
        <v>-7.1308371832036359</v>
      </c>
      <c r="W27" s="2"/>
      <c r="Y27">
        <f t="shared" si="7"/>
        <v>0.15</v>
      </c>
      <c r="Z27" s="2">
        <f t="shared" si="2"/>
        <v>4.2831601416095815</v>
      </c>
    </row>
    <row r="28" spans="5:26" x14ac:dyDescent="0.3">
      <c r="I28" t="s">
        <v>90</v>
      </c>
      <c r="J28">
        <f>(G14-G23)*G6*SIN(G7)/J27</f>
        <v>0</v>
      </c>
      <c r="L28">
        <f>cal_h(1,0,0.2,0.2)</f>
        <v>0.4208145216540462</v>
      </c>
      <c r="Q28">
        <f t="shared" si="5"/>
        <v>0.98950000000000116</v>
      </c>
      <c r="R28">
        <f t="shared" si="0"/>
        <v>-7.0300344199766203</v>
      </c>
      <c r="W28" s="2"/>
      <c r="Y28">
        <f t="shared" si="7"/>
        <v>0.14899999999999999</v>
      </c>
      <c r="Z28" s="2">
        <f t="shared" si="2"/>
        <v>4.3591786797231871</v>
      </c>
    </row>
    <row r="29" spans="5:26" x14ac:dyDescent="0.3">
      <c r="F29" t="s">
        <v>27</v>
      </c>
      <c r="G29">
        <f>G11+G16</f>
        <v>2</v>
      </c>
      <c r="H29" t="s">
        <v>5</v>
      </c>
      <c r="I29" t="s">
        <v>48</v>
      </c>
      <c r="J29">
        <f>cal_h(J26,J28,0.2,0.2)</f>
        <v>0.87105671885809655</v>
      </c>
      <c r="Q29">
        <f t="shared" si="5"/>
        <v>0.98900000000000121</v>
      </c>
      <c r="R29">
        <f t="shared" si="0"/>
        <v>-6.9315098740855676</v>
      </c>
      <c r="Y29">
        <f t="shared" si="7"/>
        <v>0.14799999999999999</v>
      </c>
      <c r="Z29" s="2">
        <f t="shared" si="2"/>
        <v>4.436763845433731</v>
      </c>
    </row>
    <row r="30" spans="5:26" x14ac:dyDescent="0.3">
      <c r="F30" t="s">
        <v>26</v>
      </c>
      <c r="G30">
        <f>G14*G29*G9/G15</f>
        <v>1523.9999999999998</v>
      </c>
      <c r="H30" t="s">
        <v>28</v>
      </c>
      <c r="I30" t="s">
        <v>93</v>
      </c>
      <c r="J30">
        <f>J29*(1-0.068/G11)</f>
        <v>0.81182486197574588</v>
      </c>
      <c r="Q30">
        <f t="shared" si="5"/>
        <v>0.98850000000000127</v>
      </c>
      <c r="R30">
        <f t="shared" si="0"/>
        <v>-6.8351055196412975</v>
      </c>
      <c r="Y30">
        <f t="shared" si="7"/>
        <v>0.14699999999999999</v>
      </c>
      <c r="Z30" s="2">
        <f t="shared" si="2"/>
        <v>4.5159586400235492</v>
      </c>
    </row>
    <row r="31" spans="5:26" x14ac:dyDescent="0.3">
      <c r="E31" t="s">
        <v>30</v>
      </c>
      <c r="F31" t="s">
        <v>29</v>
      </c>
      <c r="G31">
        <f>EXP(-(7.85*10^-3*G8+2.48*10^-6*G30))</f>
        <v>0.99622761339594779</v>
      </c>
      <c r="H31" t="s">
        <v>28</v>
      </c>
      <c r="I31" t="s">
        <v>94</v>
      </c>
      <c r="J31">
        <f>-24.729+0.00766*EXP(9.91209*J30)+24.721*EXP(0.20524*J30)</f>
        <v>28.404134048085943</v>
      </c>
      <c r="K31" t="s">
        <v>116</v>
      </c>
      <c r="L31">
        <f>cal_inv_hlls(0.8,G31 )</f>
        <v>0.98291280402450532</v>
      </c>
      <c r="Q31">
        <f t="shared" si="5"/>
        <v>0.98800000000000132</v>
      </c>
      <c r="R31">
        <f t="shared" si="0"/>
        <v>-6.7406803387932896</v>
      </c>
      <c r="Y31">
        <f t="shared" si="7"/>
        <v>0.14599999999999999</v>
      </c>
      <c r="Z31" s="2">
        <f t="shared" si="2"/>
        <v>4.5968075444197103</v>
      </c>
    </row>
    <row r="32" spans="5:26" x14ac:dyDescent="0.3">
      <c r="F32" t="s">
        <v>33</v>
      </c>
      <c r="G32">
        <f>G14*G31+G23*(1-G31)</f>
        <v>996.23246476971906</v>
      </c>
      <c r="H32" t="s">
        <v>24</v>
      </c>
      <c r="I32" t="s">
        <v>95</v>
      </c>
      <c r="J32">
        <f>J31*G29/G9/(1-0.05*G16)/G9^0.3/3600</f>
        <v>1.1619380526714784</v>
      </c>
      <c r="K32" t="s">
        <v>96</v>
      </c>
      <c r="Q32">
        <f t="shared" si="5"/>
        <v>0.98750000000000138</v>
      </c>
      <c r="R32">
        <f t="shared" si="0"/>
        <v>-6.6481078643525242</v>
      </c>
      <c r="Y32">
        <f t="shared" si="7"/>
        <v>0.14499999999999999</v>
      </c>
      <c r="Z32" s="2">
        <f t="shared" si="2"/>
        <v>4.6793565806463882</v>
      </c>
    </row>
    <row r="33" spans="1:26" x14ac:dyDescent="0.3">
      <c r="F33" t="s">
        <v>34</v>
      </c>
      <c r="G33">
        <f>G15*G31+G24*(1-G31)</f>
        <v>4.9811449591300648E-2</v>
      </c>
      <c r="H33" t="s">
        <v>16</v>
      </c>
      <c r="Q33">
        <f t="shared" si="5"/>
        <v>0.98700000000000143</v>
      </c>
      <c r="R33">
        <f t="shared" si="0"/>
        <v>-6.5572741608776299</v>
      </c>
      <c r="Y33">
        <f t="shared" si="7"/>
        <v>0.14399999999999999</v>
      </c>
      <c r="Z33" s="2">
        <f t="shared" si="2"/>
        <v>4.7636533762741928</v>
      </c>
    </row>
    <row r="34" spans="1:26" x14ac:dyDescent="0.3">
      <c r="E34" t="s">
        <v>36</v>
      </c>
      <c r="F34" t="s">
        <v>35</v>
      </c>
      <c r="G34">
        <v>1.2</v>
      </c>
      <c r="Y34">
        <f t="shared" si="7"/>
        <v>0.14299999999999999</v>
      </c>
      <c r="Z34" s="2">
        <f t="shared" si="2"/>
        <v>4.8497472320348702</v>
      </c>
    </row>
    <row r="35" spans="1:26" x14ac:dyDescent="0.3">
      <c r="E35" t="s">
        <v>38</v>
      </c>
      <c r="F35" t="s">
        <v>37</v>
      </c>
      <c r="G35">
        <f>G34*G29+0.54*(G6*G9)^0.5*COS(G7)+0.35*(G6*G9)^0.5*SIN(G7)</f>
        <v>2.7299660709830631</v>
      </c>
      <c r="H35" t="s">
        <v>5</v>
      </c>
      <c r="Y35">
        <f t="shared" si="7"/>
        <v>0.14199999999999999</v>
      </c>
      <c r="Z35" s="2">
        <f t="shared" si="2"/>
        <v>4.9376891927801276</v>
      </c>
    </row>
    <row r="36" spans="1:26" x14ac:dyDescent="0.3">
      <c r="A36" t="s">
        <v>85</v>
      </c>
      <c r="B36" t="s">
        <v>86</v>
      </c>
      <c r="C36" t="s">
        <v>87</v>
      </c>
      <c r="E36" t="s">
        <v>42</v>
      </c>
      <c r="F36" t="s">
        <v>43</v>
      </c>
      <c r="G36">
        <f>(G35-G29)*G14*G10*G31</f>
        <v>0.8290888651352617</v>
      </c>
      <c r="H36" t="s">
        <v>44</v>
      </c>
      <c r="Y36">
        <f t="shared" si="7"/>
        <v>0.14099999999999999</v>
      </c>
      <c r="Z36" s="2">
        <f t="shared" si="2"/>
        <v>5.0275321219750122</v>
      </c>
    </row>
    <row r="37" spans="1:26" x14ac:dyDescent="0.3">
      <c r="A37">
        <v>5</v>
      </c>
      <c r="B37">
        <v>1.016</v>
      </c>
      <c r="C37">
        <v>-1.0787943690214279</v>
      </c>
      <c r="D37" s="3"/>
      <c r="E37" t="s">
        <v>46</v>
      </c>
      <c r="F37" t="s">
        <v>45</v>
      </c>
      <c r="G37">
        <f>G31*G9</f>
        <v>3.7956272070385606E-2</v>
      </c>
      <c r="H37" t="s">
        <v>1</v>
      </c>
      <c r="Y37">
        <f t="shared" si="7"/>
        <v>0.13999999999999999</v>
      </c>
      <c r="Z37" s="2">
        <f t="shared" si="2"/>
        <v>5.119330779928414</v>
      </c>
    </row>
    <row r="38" spans="1:26" x14ac:dyDescent="0.3">
      <c r="A38">
        <v>1</v>
      </c>
      <c r="B38">
        <v>0.76200000000000001</v>
      </c>
      <c r="C38">
        <v>-1.0093550362162642</v>
      </c>
      <c r="F38" t="s">
        <v>47</v>
      </c>
      <c r="G38">
        <f>G35-G29</f>
        <v>0.7299660709830631</v>
      </c>
      <c r="Y38">
        <f t="shared" si="7"/>
        <v>0.13899999999999998</v>
      </c>
      <c r="Z38" s="2">
        <f t="shared" si="2"/>
        <v>5.2131419059765562</v>
      </c>
    </row>
    <row r="39" spans="1:26" x14ac:dyDescent="0.3">
      <c r="A39">
        <v>2</v>
      </c>
      <c r="B39">
        <v>0.38100000000000001</v>
      </c>
      <c r="C39">
        <v>-0.91944360871169384</v>
      </c>
      <c r="F39" t="s">
        <v>50</v>
      </c>
      <c r="G39">
        <f>H39</f>
        <v>0.93122803171458701</v>
      </c>
      <c r="H39">
        <f>cal_hcrit(0.1,$G$36,$G$14,$G$6,$G$10,$G$9,$G$7)</f>
        <v>0.93122803171458701</v>
      </c>
      <c r="I39">
        <f>Cal_hC_TTBN(0.037)</f>
        <v>3.4560702096986542E-2</v>
      </c>
      <c r="Y39">
        <f t="shared" si="7"/>
        <v>0.13799999999999998</v>
      </c>
      <c r="Z39" s="2">
        <f t="shared" si="2"/>
        <v>5.3090243048491406</v>
      </c>
    </row>
    <row r="40" spans="1:26" x14ac:dyDescent="0.3">
      <c r="A40">
        <v>3</v>
      </c>
      <c r="B40">
        <v>7.619999999999999E-2</v>
      </c>
      <c r="C40">
        <v>-0.85725394505866914</v>
      </c>
      <c r="F40" t="s">
        <v>51</v>
      </c>
      <c r="G40">
        <f>G39*G9</f>
        <v>3.5479788008325762E-2</v>
      </c>
      <c r="Y40">
        <f t="shared" si="7"/>
        <v>0.13699999999999998</v>
      </c>
      <c r="Z40" s="2">
        <f t="shared" si="2"/>
        <v>5.4070389374636152</v>
      </c>
    </row>
    <row r="41" spans="1:26" x14ac:dyDescent="0.3">
      <c r="A41">
        <v>4</v>
      </c>
      <c r="B41">
        <v>1.2699999999999999E-2</v>
      </c>
      <c r="C41">
        <v>-0.84523782786294721</v>
      </c>
      <c r="E41" t="s">
        <v>52</v>
      </c>
      <c r="G41" t="b">
        <f>(G37&gt;G40)</f>
        <v>1</v>
      </c>
      <c r="Y41">
        <f t="shared" si="7"/>
        <v>0.13599999999999998</v>
      </c>
      <c r="Z41" s="2">
        <f t="shared" si="2"/>
        <v>5.507249016408462</v>
      </c>
    </row>
    <row r="42" spans="1:26" x14ac:dyDescent="0.3">
      <c r="F42" t="s">
        <v>53</v>
      </c>
      <c r="G42" t="b">
        <f>NOT(G41)</f>
        <v>0</v>
      </c>
      <c r="Y42">
        <f t="shared" si="7"/>
        <v>0.13499999999999998</v>
      </c>
      <c r="Z42" s="2">
        <f t="shared" si="2"/>
        <v>5.6097201063944944</v>
      </c>
    </row>
    <row r="43" spans="1:26" x14ac:dyDescent="0.3">
      <c r="E43" t="s">
        <v>54</v>
      </c>
      <c r="F43" t="s">
        <v>59</v>
      </c>
      <c r="G43">
        <f>30*G9</f>
        <v>1.1429999999999998</v>
      </c>
      <c r="H43" t="s">
        <v>1</v>
      </c>
      <c r="J43" t="s">
        <v>88</v>
      </c>
      <c r="Y43">
        <f t="shared" si="7"/>
        <v>0.13399999999999998</v>
      </c>
      <c r="Z43" s="2">
        <f t="shared" si="2"/>
        <v>5.7145202299719129</v>
      </c>
    </row>
    <row r="44" spans="1:26" x14ac:dyDescent="0.3">
      <c r="F44" t="s">
        <v>4</v>
      </c>
      <c r="G44">
        <f>G11/0.3048</f>
        <v>3.280839895013123</v>
      </c>
      <c r="H44" t="s">
        <v>55</v>
      </c>
      <c r="Y44">
        <f t="shared" si="7"/>
        <v>0.13299999999999998</v>
      </c>
      <c r="Z44" s="2">
        <f t="shared" si="2"/>
        <v>5.8217199788305027</v>
      </c>
    </row>
    <row r="45" spans="1:26" x14ac:dyDescent="0.3">
      <c r="F45" t="s">
        <v>27</v>
      </c>
      <c r="G45">
        <f>G29/0.3048</f>
        <v>6.561679790026246</v>
      </c>
      <c r="H45" t="s">
        <v>55</v>
      </c>
      <c r="Y45">
        <f t="shared" si="7"/>
        <v>0.13199999999999998</v>
      </c>
      <c r="Z45" s="2">
        <f t="shared" si="2"/>
        <v>5.9313926310230141</v>
      </c>
    </row>
    <row r="46" spans="1:26" x14ac:dyDescent="0.3">
      <c r="F46" t="s">
        <v>56</v>
      </c>
      <c r="G46">
        <f>0.0226*(G44/32.2/(G9/0.0254/12))^1.2*(212.6/G45+G45)^1.2*(0.836+2.75*(SIN(G7))^0.25)</f>
        <v>1.1982463569445232</v>
      </c>
      <c r="H46" t="s">
        <v>57</v>
      </c>
      <c r="Y46">
        <f t="shared" si="7"/>
        <v>0.13099999999999998</v>
      </c>
      <c r="Z46" s="2">
        <f t="shared" si="2"/>
        <v>6.0436142744740451</v>
      </c>
    </row>
    <row r="47" spans="1:26" x14ac:dyDescent="0.3">
      <c r="F47" t="s">
        <v>58</v>
      </c>
      <c r="G47">
        <f>G35/G46</f>
        <v>2.2783011649994576</v>
      </c>
      <c r="H47" t="s">
        <v>1</v>
      </c>
      <c r="I47">
        <f>G35/J32</f>
        <v>2.3494936452992836</v>
      </c>
      <c r="Y47">
        <f t="shared" si="7"/>
        <v>0.12999999999999998</v>
      </c>
      <c r="Z47" s="2">
        <f t="shared" si="2"/>
        <v>6.1584639371634182</v>
      </c>
    </row>
    <row r="48" spans="1:26" x14ac:dyDescent="0.3">
      <c r="F48" t="s">
        <v>60</v>
      </c>
      <c r="G48">
        <f>G47-G43</f>
        <v>1.1353011649994578</v>
      </c>
      <c r="H48" t="s">
        <v>1</v>
      </c>
      <c r="Z48" s="2"/>
    </row>
    <row r="49" spans="6:50" x14ac:dyDescent="0.3">
      <c r="F49" t="s">
        <v>61</v>
      </c>
      <c r="G49" t="s">
        <v>62</v>
      </c>
    </row>
    <row r="50" spans="6:50" x14ac:dyDescent="0.3">
      <c r="W50" t="s">
        <v>110</v>
      </c>
    </row>
    <row r="51" spans="6:50" ht="15" customHeight="1" x14ac:dyDescent="0.3">
      <c r="F51" t="s">
        <v>65</v>
      </c>
      <c r="G51" s="1">
        <f>1*G29+1.53*(G6*G5*(G14-G23)/G14^2)^0.25*G31^0.5*SIN(G7)</f>
        <v>2</v>
      </c>
      <c r="H51" t="s">
        <v>5</v>
      </c>
      <c r="W51" t="s">
        <v>111</v>
      </c>
      <c r="X51">
        <f>G47</f>
        <v>2.2783011649994576</v>
      </c>
      <c r="Y51">
        <f>X51*5</f>
        <v>11.391505824997289</v>
      </c>
      <c r="Z51">
        <f>Y51-X51</f>
        <v>9.1132046599978302</v>
      </c>
    </row>
    <row r="52" spans="6:50" x14ac:dyDescent="0.3">
      <c r="F52" t="s">
        <v>66</v>
      </c>
      <c r="G52">
        <f>(G29-G51*(1-G31))/G31</f>
        <v>2</v>
      </c>
      <c r="H52" t="s">
        <v>5</v>
      </c>
      <c r="Q52">
        <v>0</v>
      </c>
      <c r="W52" t="s">
        <v>112</v>
      </c>
      <c r="X52">
        <f>G43</f>
        <v>1.1429999999999998</v>
      </c>
    </row>
    <row r="53" spans="6:50" x14ac:dyDescent="0.3">
      <c r="F53" t="s">
        <v>67</v>
      </c>
      <c r="G53" s="3">
        <f>(G35-G52)*G14*G10*G31</f>
        <v>0.8290888651352617</v>
      </c>
      <c r="H53" t="s">
        <v>44</v>
      </c>
      <c r="I53" t="s">
        <v>80</v>
      </c>
      <c r="Q53">
        <f>COLUMN()</f>
        <v>17</v>
      </c>
      <c r="W53" t="s">
        <v>113</v>
      </c>
      <c r="X53">
        <f>G48</f>
        <v>1.1353011649994578</v>
      </c>
      <c r="AL53" s="4"/>
      <c r="AO53" s="4"/>
    </row>
    <row r="54" spans="6:50" x14ac:dyDescent="0.3">
      <c r="F54" s="5" t="s">
        <v>72</v>
      </c>
      <c r="G54" s="3">
        <f>MIN(cal_inv_hlls(0.8,G31 ),G39)*0.999</f>
        <v>0.93029680368287238</v>
      </c>
      <c r="H54" t="s">
        <v>28</v>
      </c>
      <c r="J54">
        <v>0</v>
      </c>
      <c r="Q54" t="s">
        <v>68</v>
      </c>
    </row>
    <row r="55" spans="6:50" x14ac:dyDescent="0.3">
      <c r="F55" s="5" t="s">
        <v>71</v>
      </c>
      <c r="G55" s="3">
        <f>G54*G9</f>
        <v>3.5444308220317432E-2</v>
      </c>
      <c r="H55" t="s">
        <v>73</v>
      </c>
      <c r="L55" t="s">
        <v>78</v>
      </c>
      <c r="M55" t="s">
        <v>77</v>
      </c>
      <c r="N55" t="s">
        <v>79</v>
      </c>
      <c r="P55">
        <f>ROW()</f>
        <v>55</v>
      </c>
      <c r="Q55" t="s">
        <v>69</v>
      </c>
      <c r="R55" t="s">
        <v>70</v>
      </c>
      <c r="T55" t="s">
        <v>74</v>
      </c>
      <c r="AA55">
        <v>30.105662832572801</v>
      </c>
      <c r="AX55" s="4"/>
    </row>
    <row r="56" spans="6:50" x14ac:dyDescent="0.3">
      <c r="F56" s="5" t="s">
        <v>75</v>
      </c>
      <c r="G56" s="3">
        <f>(G35-G52)*G31/G35</f>
        <v>0.26638146330280366</v>
      </c>
      <c r="I56">
        <f>J56*-1</f>
        <v>0</v>
      </c>
      <c r="J56">
        <v>0</v>
      </c>
      <c r="K56">
        <v>3.5444308220317432E-2</v>
      </c>
      <c r="L56">
        <f>K56/$G$9</f>
        <v>0.93029680368287238</v>
      </c>
      <c r="M56">
        <v>1.9798143988126582</v>
      </c>
      <c r="N56">
        <f>cal_hltb(L56)</f>
        <v>0.96942043020638624</v>
      </c>
      <c r="Q56">
        <v>0</v>
      </c>
      <c r="R56">
        <v>3.5444308220317432E-2</v>
      </c>
      <c r="S56">
        <f>Q56*-1</f>
        <v>0</v>
      </c>
      <c r="T56">
        <f>R56/$G$9</f>
        <v>0.93029680368287238</v>
      </c>
      <c r="W56">
        <v>0</v>
      </c>
      <c r="X56">
        <f>$W$107-W56</f>
        <v>2.2783011649994576</v>
      </c>
      <c r="Y56">
        <f>L31</f>
        <v>0.98291280402450532</v>
      </c>
      <c r="Z56">
        <v>1</v>
      </c>
      <c r="AA56">
        <f>$AA$55-(Z56-1)*$X$51-W56</f>
        <v>30.105662832572801</v>
      </c>
      <c r="AB56">
        <f>Y56</f>
        <v>0.98291280402450532</v>
      </c>
    </row>
    <row r="57" spans="6:50" x14ac:dyDescent="0.3">
      <c r="G57">
        <f>cal_inv_hlls(0.5,G56)</f>
        <v>0.31198663002266641</v>
      </c>
      <c r="I57">
        <f t="shared" ref="I57:I68" si="8">J57*-1</f>
        <v>-1.0000000000000001E-5</v>
      </c>
      <c r="J57">
        <v>1.0000000000000001E-5</v>
      </c>
      <c r="K57">
        <v>3.5350375787360472E-2</v>
      </c>
      <c r="L57">
        <f t="shared" ref="L57:L87" si="9">K57/$G$9</f>
        <v>0.92783138549502564</v>
      </c>
      <c r="M57">
        <v>1.9785651762644421</v>
      </c>
      <c r="N57">
        <f t="shared" ref="N57:N68" si="10">cal_hltb(L57)</f>
        <v>0.96780874479500711</v>
      </c>
      <c r="Q57">
        <v>9.9999999999999995E-7</v>
      </c>
      <c r="R57">
        <v>3.5293458965682048E-2</v>
      </c>
      <c r="S57">
        <f t="shared" ref="S57:S69" si="11">Q57*-1</f>
        <v>-9.9999999999999995E-7</v>
      </c>
      <c r="T57">
        <f t="shared" ref="T57:T96" si="12">R57/$G$9</f>
        <v>0.9263375056609463</v>
      </c>
      <c r="W57">
        <f>X52</f>
        <v>1.1429999999999998</v>
      </c>
      <c r="X57">
        <f t="shared" ref="X57:X107" si="13">$W$107-W57</f>
        <v>1.1353011649994578</v>
      </c>
      <c r="Y57">
        <f>L31</f>
        <v>0.98291280402450532</v>
      </c>
      <c r="Z57">
        <v>1</v>
      </c>
      <c r="AA57">
        <f t="shared" ref="AA57:AA120" si="14">$AA$55-(Z57-1)*$X$51-W57</f>
        <v>28.9626628325728</v>
      </c>
      <c r="AB57">
        <f t="shared" ref="AB57:AB107" si="15">Y57</f>
        <v>0.98291280402450532</v>
      </c>
    </row>
    <row r="58" spans="6:50" x14ac:dyDescent="0.3">
      <c r="F58" s="5" t="s">
        <v>76</v>
      </c>
      <c r="G58">
        <f>G57*G9</f>
        <v>1.1886690603863589E-2</v>
      </c>
      <c r="I58">
        <f t="shared" si="8"/>
        <v>-2.0000000000000002E-5</v>
      </c>
      <c r="J58">
        <v>2.0000000000000002E-5</v>
      </c>
      <c r="K58">
        <v>3.530383546432294E-2</v>
      </c>
      <c r="L58">
        <f t="shared" si="9"/>
        <v>0.92660985470663892</v>
      </c>
      <c r="M58">
        <v>1.9779372860887028</v>
      </c>
      <c r="N58">
        <f t="shared" si="10"/>
        <v>0.96700069380672371</v>
      </c>
      <c r="Q58">
        <v>1.9999999999999999E-6</v>
      </c>
      <c r="R58">
        <v>3.5208343460292328E-2</v>
      </c>
      <c r="S58">
        <f t="shared" si="11"/>
        <v>-1.9999999999999999E-6</v>
      </c>
      <c r="T58">
        <f t="shared" si="12"/>
        <v>0.92410350289481191</v>
      </c>
      <c r="W58">
        <f>$W$57+Q56</f>
        <v>1.1429999999999998</v>
      </c>
      <c r="X58">
        <f t="shared" si="13"/>
        <v>1.1353011649994578</v>
      </c>
      <c r="Y58">
        <f>T56</f>
        <v>0.93029680368287238</v>
      </c>
      <c r="Z58">
        <v>1</v>
      </c>
      <c r="AA58">
        <f t="shared" si="14"/>
        <v>28.9626628325728</v>
      </c>
      <c r="AB58">
        <f t="shared" si="15"/>
        <v>0.93029680368287238</v>
      </c>
    </row>
    <row r="59" spans="6:50" x14ac:dyDescent="0.3">
      <c r="G59" s="3"/>
      <c r="I59">
        <f t="shared" si="8"/>
        <v>-3.0000000000000004E-5</v>
      </c>
      <c r="J59">
        <v>3.0000000000000004E-5</v>
      </c>
      <c r="K59">
        <v>3.5267295016591704E-2</v>
      </c>
      <c r="L59">
        <f t="shared" si="9"/>
        <v>0.92565078783705268</v>
      </c>
      <c r="M59">
        <v>1.9774401767366938</v>
      </c>
      <c r="N59">
        <f t="shared" si="10"/>
        <v>0.96636190503949904</v>
      </c>
      <c r="Q59">
        <v>3.0000000000000001E-6</v>
      </c>
      <c r="R59">
        <v>3.5145993483552705E-2</v>
      </c>
      <c r="S59">
        <f t="shared" si="11"/>
        <v>-3.0000000000000001E-6</v>
      </c>
      <c r="T59">
        <f t="shared" si="12"/>
        <v>0.92246702056568797</v>
      </c>
      <c r="W59">
        <f t="shared" ref="W59:W107" si="16">$W$57+Q57</f>
        <v>1.1430009999999997</v>
      </c>
      <c r="X59">
        <f t="shared" si="13"/>
        <v>1.1353001649994579</v>
      </c>
      <c r="Y59">
        <f t="shared" ref="Y59:Y106" si="17">T57</f>
        <v>0.9263375056609463</v>
      </c>
      <c r="Z59">
        <v>1</v>
      </c>
      <c r="AA59">
        <f t="shared" si="14"/>
        <v>28.962661832572802</v>
      </c>
      <c r="AB59">
        <f t="shared" si="15"/>
        <v>0.9263375056609463</v>
      </c>
    </row>
    <row r="60" spans="6:50" x14ac:dyDescent="0.3">
      <c r="F60" t="s">
        <v>81</v>
      </c>
      <c r="G60" s="3">
        <f>AL53</f>
        <v>0</v>
      </c>
      <c r="I60">
        <f t="shared" si="8"/>
        <v>-4.0000000000000003E-5</v>
      </c>
      <c r="J60">
        <v>4.0000000000000003E-5</v>
      </c>
      <c r="K60">
        <v>3.5236205658427118E-2</v>
      </c>
      <c r="L60">
        <f t="shared" si="9"/>
        <v>0.92483479418443892</v>
      </c>
      <c r="M60">
        <v>1.9770143744645892</v>
      </c>
      <c r="N60">
        <f t="shared" si="10"/>
        <v>0.96581541700216034</v>
      </c>
      <c r="Q60">
        <v>3.9999999999999998E-6</v>
      </c>
      <c r="R60">
        <v>3.5094879673684298E-2</v>
      </c>
      <c r="S60">
        <f t="shared" si="11"/>
        <v>-3.9999999999999998E-6</v>
      </c>
      <c r="T60">
        <f t="shared" si="12"/>
        <v>0.92112545075286889</v>
      </c>
      <c r="W60">
        <f t="shared" si="16"/>
        <v>1.1430019999999999</v>
      </c>
      <c r="X60">
        <f t="shared" si="13"/>
        <v>1.1352991649994577</v>
      </c>
      <c r="Y60">
        <f t="shared" si="17"/>
        <v>0.92410350289481191</v>
      </c>
      <c r="Z60">
        <v>1</v>
      </c>
      <c r="AA60">
        <f t="shared" si="14"/>
        <v>28.962660832572801</v>
      </c>
      <c r="AB60">
        <f t="shared" si="15"/>
        <v>0.92410350289481191</v>
      </c>
    </row>
    <row r="61" spans="6:50" x14ac:dyDescent="0.3">
      <c r="F61" t="s">
        <v>82</v>
      </c>
      <c r="G61" s="3">
        <f>G29/G46/(G31-G60)*(G11/G29-G60+0.2*(G31-G60))</f>
        <v>1.1715342702748399</v>
      </c>
      <c r="I61">
        <f t="shared" si="8"/>
        <v>-5.195500244430754E-5</v>
      </c>
      <c r="J61">
        <v>5.195500244430754E-5</v>
      </c>
      <c r="K61">
        <v>3.5203624315915061E-2</v>
      </c>
      <c r="L61">
        <f t="shared" si="9"/>
        <v>0.92397964083766571</v>
      </c>
      <c r="M61">
        <v>1.9765653322467447</v>
      </c>
      <c r="N61">
        <f t="shared" si="10"/>
        <v>0.96523977130050298</v>
      </c>
      <c r="Q61">
        <v>4.9999999999999996E-6</v>
      </c>
      <c r="R61">
        <v>3.5050779634350486E-2</v>
      </c>
      <c r="S61">
        <f t="shared" si="11"/>
        <v>-4.9999999999999996E-6</v>
      </c>
      <c r="T61">
        <f t="shared" si="12"/>
        <v>0.91996796940552472</v>
      </c>
      <c r="W61">
        <f t="shared" si="16"/>
        <v>1.1430029999999998</v>
      </c>
      <c r="X61">
        <f t="shared" si="13"/>
        <v>1.1352981649994578</v>
      </c>
      <c r="Y61">
        <f t="shared" si="17"/>
        <v>0.92246702056568797</v>
      </c>
      <c r="Z61">
        <v>1</v>
      </c>
      <c r="AA61">
        <f t="shared" si="14"/>
        <v>28.9626598325728</v>
      </c>
      <c r="AB61">
        <f t="shared" si="15"/>
        <v>0.92246702056568797</v>
      </c>
    </row>
    <row r="62" spans="6:50" x14ac:dyDescent="0.3">
      <c r="F62" t="s">
        <v>84</v>
      </c>
      <c r="G62" s="3">
        <f>AO53</f>
        <v>0</v>
      </c>
      <c r="I62">
        <f t="shared" si="8"/>
        <v>-6.8086429472194459E-5</v>
      </c>
      <c r="J62">
        <v>6.8086429472194459E-5</v>
      </c>
      <c r="K62">
        <v>3.5165002314196288E-2</v>
      </c>
      <c r="L62">
        <f t="shared" si="9"/>
        <v>0.92296594000515209</v>
      </c>
      <c r="M62">
        <v>1.9760293274468308</v>
      </c>
      <c r="N62">
        <f t="shared" si="10"/>
        <v>0.96455354244255109</v>
      </c>
      <c r="Q62">
        <v>5.9999999999999993E-6</v>
      </c>
      <c r="R62">
        <v>3.5011585501568077E-2</v>
      </c>
      <c r="S62">
        <f t="shared" si="11"/>
        <v>-5.9999999999999993E-6</v>
      </c>
      <c r="T62">
        <f t="shared" si="12"/>
        <v>0.91893925200966098</v>
      </c>
      <c r="W62">
        <f t="shared" si="16"/>
        <v>1.1430039999999997</v>
      </c>
      <c r="X62">
        <f t="shared" si="13"/>
        <v>1.1352971649994579</v>
      </c>
      <c r="Y62">
        <f t="shared" si="17"/>
        <v>0.92112545075286889</v>
      </c>
      <c r="Z62">
        <v>1</v>
      </c>
      <c r="AA62">
        <f t="shared" si="14"/>
        <v>28.962658832572799</v>
      </c>
      <c r="AB62">
        <f t="shared" si="15"/>
        <v>0.92112545075286889</v>
      </c>
    </row>
    <row r="63" spans="6:50" x14ac:dyDescent="0.3">
      <c r="I63">
        <f t="shared" si="8"/>
        <v>-8.9593003728094271E-5</v>
      </c>
      <c r="J63">
        <v>8.9593003728094271E-5</v>
      </c>
      <c r="K63">
        <v>3.5119958750702708E-2</v>
      </c>
      <c r="L63">
        <f t="shared" si="9"/>
        <v>0.92178369424416573</v>
      </c>
      <c r="M63">
        <v>1.9753991351157598</v>
      </c>
      <c r="N63">
        <f t="shared" si="10"/>
        <v>0.9637479754126943</v>
      </c>
      <c r="Q63">
        <v>6.999999999999999E-6</v>
      </c>
      <c r="R63">
        <v>3.4976066141440186E-2</v>
      </c>
      <c r="S63">
        <f t="shared" si="11"/>
        <v>-6.999999999999999E-6</v>
      </c>
      <c r="T63">
        <f t="shared" si="12"/>
        <v>0.91800698533963754</v>
      </c>
      <c r="W63">
        <f t="shared" si="16"/>
        <v>1.1430049999999998</v>
      </c>
      <c r="X63">
        <f t="shared" si="13"/>
        <v>1.1352961649994577</v>
      </c>
      <c r="Y63">
        <f t="shared" si="17"/>
        <v>0.91996796940552472</v>
      </c>
      <c r="Z63">
        <v>1</v>
      </c>
      <c r="AA63">
        <f t="shared" si="14"/>
        <v>28.962657832572802</v>
      </c>
      <c r="AB63">
        <f t="shared" si="15"/>
        <v>0.91996796940552472</v>
      </c>
    </row>
    <row r="64" spans="6:50" x14ac:dyDescent="0.3">
      <c r="F64" t="s">
        <v>97</v>
      </c>
      <c r="G64" s="3">
        <f>G14*G10*AL54</f>
        <v>0</v>
      </c>
      <c r="I64">
        <f t="shared" si="8"/>
        <v>-1.1856290179981555E-4</v>
      </c>
      <c r="J64">
        <v>1.1856290179981555E-4</v>
      </c>
      <c r="K64">
        <v>3.5067062387856451E-2</v>
      </c>
      <c r="L64">
        <f t="shared" si="9"/>
        <v>0.92039533826394893</v>
      </c>
      <c r="M64">
        <v>1.9746521334136102</v>
      </c>
      <c r="N64">
        <f t="shared" si="10"/>
        <v>0.96279483349081618</v>
      </c>
      <c r="Q64">
        <v>8.1501326104545878E-6</v>
      </c>
      <c r="R64">
        <v>3.4938741964985698E-2</v>
      </c>
      <c r="S64">
        <f t="shared" si="11"/>
        <v>-8.1501326104545878E-6</v>
      </c>
      <c r="T64">
        <f t="shared" si="12"/>
        <v>0.91702734816235443</v>
      </c>
      <c r="W64">
        <f t="shared" si="16"/>
        <v>1.1430059999999997</v>
      </c>
      <c r="X64">
        <f t="shared" si="13"/>
        <v>1.1352951649994578</v>
      </c>
      <c r="Y64">
        <f t="shared" si="17"/>
        <v>0.91893925200966098</v>
      </c>
      <c r="Z64">
        <v>1</v>
      </c>
      <c r="AA64">
        <f t="shared" si="14"/>
        <v>28.962656832572801</v>
      </c>
      <c r="AB64">
        <f t="shared" si="15"/>
        <v>0.91893925200966098</v>
      </c>
    </row>
    <row r="65" spans="1:28" x14ac:dyDescent="0.3">
      <c r="F65" t="s">
        <v>98</v>
      </c>
      <c r="G65" s="3">
        <f>G14*G43*G10*G31</f>
        <v>1.2982090682288596</v>
      </c>
      <c r="I65">
        <f t="shared" si="8"/>
        <v>-1.578625274213005E-4</v>
      </c>
      <c r="J65">
        <v>1.578625274213005E-4</v>
      </c>
      <c r="K65">
        <v>3.5004740206364023E-2</v>
      </c>
      <c r="L65">
        <f t="shared" si="9"/>
        <v>0.91875958546887215</v>
      </c>
      <c r="M65">
        <v>1.9737624333326249</v>
      </c>
      <c r="N65">
        <f t="shared" si="10"/>
        <v>0.96166207162789963</v>
      </c>
      <c r="Q65">
        <v>9.5249244925034717E-6</v>
      </c>
      <c r="R65">
        <v>3.4898021905387516E-2</v>
      </c>
      <c r="S65">
        <f t="shared" si="11"/>
        <v>-9.5249244925034717E-6</v>
      </c>
      <c r="T65">
        <f t="shared" si="12"/>
        <v>0.9159585801938982</v>
      </c>
      <c r="W65">
        <f t="shared" si="16"/>
        <v>1.1430069999999999</v>
      </c>
      <c r="X65">
        <f t="shared" si="13"/>
        <v>1.1352941649994577</v>
      </c>
      <c r="Y65">
        <f t="shared" si="17"/>
        <v>0.91800698533963754</v>
      </c>
      <c r="Z65">
        <v>1</v>
      </c>
      <c r="AA65">
        <f t="shared" si="14"/>
        <v>28.9626558325728</v>
      </c>
      <c r="AB65">
        <f t="shared" si="15"/>
        <v>0.91800698533963754</v>
      </c>
    </row>
    <row r="66" spans="1:28" x14ac:dyDescent="0.3">
      <c r="F66" t="s">
        <v>99</v>
      </c>
      <c r="G66" s="6">
        <f>(G64+G65)*G46-G36</f>
        <v>0.72648542142231332</v>
      </c>
      <c r="H66">
        <f>(G64+G65)*J32-G36</f>
        <v>0.67934965156303395</v>
      </c>
      <c r="I66">
        <f t="shared" si="8"/>
        <v>-2.1160418992371879E-4</v>
      </c>
      <c r="J66">
        <v>2.1160418992371879E-4</v>
      </c>
      <c r="K66">
        <v>3.4931015282947099E-2</v>
      </c>
      <c r="L66">
        <f t="shared" si="9"/>
        <v>0.91682454810884784</v>
      </c>
      <c r="M66">
        <v>1.9726966143263729</v>
      </c>
      <c r="N66">
        <f t="shared" si="10"/>
        <v>0.96030858020615661</v>
      </c>
      <c r="Q66">
        <v>1.1167304060702238E-5</v>
      </c>
      <c r="R66">
        <v>3.4853737337983304E-2</v>
      </c>
      <c r="S66">
        <f t="shared" si="11"/>
        <v>-1.1167304060702238E-5</v>
      </c>
      <c r="T66">
        <f t="shared" si="12"/>
        <v>0.91479625559011313</v>
      </c>
      <c r="W66">
        <f t="shared" si="16"/>
        <v>1.1430081501326101</v>
      </c>
      <c r="X66">
        <f t="shared" si="13"/>
        <v>1.1352930148668474</v>
      </c>
      <c r="Y66">
        <f t="shared" si="17"/>
        <v>0.91702734816235443</v>
      </c>
      <c r="Z66">
        <v>1</v>
      </c>
      <c r="AA66">
        <f t="shared" si="14"/>
        <v>28.962654682440192</v>
      </c>
      <c r="AB66">
        <f t="shared" si="15"/>
        <v>0.91702734816235443</v>
      </c>
    </row>
    <row r="67" spans="1:28" x14ac:dyDescent="0.3">
      <c r="F67" t="s">
        <v>100</v>
      </c>
      <c r="G67" s="3">
        <f>G12*G14</f>
        <v>1.1400918279693697</v>
      </c>
      <c r="I67">
        <f t="shared" si="8"/>
        <v>-2.8570752707966557E-4</v>
      </c>
      <c r="J67">
        <v>2.8570752707966557E-4</v>
      </c>
      <c r="K67">
        <v>3.4843445914361858E-2</v>
      </c>
      <c r="L67">
        <f t="shared" si="9"/>
        <v>0.91452613948456329</v>
      </c>
      <c r="M67">
        <v>1.9714119574182969</v>
      </c>
      <c r="N67">
        <f t="shared" si="10"/>
        <v>0.95868224000262259</v>
      </c>
      <c r="Q67">
        <v>1.3137023912243736E-5</v>
      </c>
      <c r="R67">
        <v>3.4805511417469757E-2</v>
      </c>
      <c r="S67">
        <f t="shared" si="11"/>
        <v>-1.3137023912243736E-5</v>
      </c>
      <c r="T67">
        <f t="shared" si="12"/>
        <v>0.91353048339815646</v>
      </c>
      <c r="W67">
        <f t="shared" si="16"/>
        <v>1.1430095249244923</v>
      </c>
      <c r="X67">
        <f t="shared" si="13"/>
        <v>1.1352916400749653</v>
      </c>
      <c r="Y67">
        <f t="shared" si="17"/>
        <v>0.9159585801938982</v>
      </c>
      <c r="Z67">
        <v>1</v>
      </c>
      <c r="AA67">
        <f t="shared" si="14"/>
        <v>28.96265330764831</v>
      </c>
      <c r="AB67">
        <f t="shared" si="15"/>
        <v>0.9159585801938982</v>
      </c>
    </row>
    <row r="68" spans="1:28" x14ac:dyDescent="0.3">
      <c r="F68" t="s">
        <v>102</v>
      </c>
      <c r="G68" s="3">
        <f>G65*G46</f>
        <v>1.555574286557575</v>
      </c>
      <c r="I68">
        <f t="shared" si="8"/>
        <v>-3.887833240685241E-4</v>
      </c>
      <c r="J68">
        <v>3.887833240685241E-4</v>
      </c>
      <c r="K68">
        <v>3.4738993047437008E-2</v>
      </c>
      <c r="L68">
        <f t="shared" si="9"/>
        <v>0.91178459442091897</v>
      </c>
      <c r="M68">
        <v>1.9698532043241221</v>
      </c>
      <c r="N68">
        <f t="shared" si="10"/>
        <v>0.95671628340133175</v>
      </c>
      <c r="Q68">
        <v>1.5507763250633288E-5</v>
      </c>
      <c r="R68">
        <v>3.475294873091947E-2</v>
      </c>
      <c r="S68">
        <f t="shared" si="11"/>
        <v>-1.5507763250633288E-5</v>
      </c>
      <c r="T68">
        <f t="shared" si="12"/>
        <v>0.91215088532597044</v>
      </c>
      <c r="W68">
        <f t="shared" si="16"/>
        <v>1.1430111673040606</v>
      </c>
      <c r="X68">
        <f t="shared" si="13"/>
        <v>1.135289997695397</v>
      </c>
      <c r="Y68">
        <f t="shared" si="17"/>
        <v>0.91479625559011313</v>
      </c>
      <c r="Z68">
        <v>1</v>
      </c>
      <c r="AA68">
        <f t="shared" si="14"/>
        <v>28.962651665268741</v>
      </c>
      <c r="AB68">
        <f t="shared" si="15"/>
        <v>0.91479625559011313</v>
      </c>
    </row>
    <row r="69" spans="1:28" x14ac:dyDescent="0.3">
      <c r="F69" t="s">
        <v>103</v>
      </c>
      <c r="G69" s="3">
        <f>G64*G46</f>
        <v>0</v>
      </c>
      <c r="J69">
        <v>5.3348124647134977E-4</v>
      </c>
      <c r="K69">
        <v>3.4613860823613229E-2</v>
      </c>
      <c r="L69">
        <f t="shared" si="9"/>
        <v>0.90850028408433681</v>
      </c>
      <c r="M69">
        <v>1.9679482218743183</v>
      </c>
      <c r="Q69">
        <v>1.8371968832088933E-5</v>
      </c>
      <c r="R69">
        <v>3.4695606885643125E-2</v>
      </c>
      <c r="S69">
        <f t="shared" si="11"/>
        <v>-1.8371968832088933E-5</v>
      </c>
      <c r="T69">
        <f t="shared" si="12"/>
        <v>0.91064585001688003</v>
      </c>
      <c r="W69">
        <f t="shared" si="16"/>
        <v>1.1430131370239121</v>
      </c>
      <c r="X69">
        <f t="shared" si="13"/>
        <v>1.1352880279755455</v>
      </c>
      <c r="Y69">
        <f t="shared" si="17"/>
        <v>0.91353048339815646</v>
      </c>
      <c r="Z69">
        <v>1</v>
      </c>
      <c r="AA69">
        <f t="shared" si="14"/>
        <v>28.96264969554889</v>
      </c>
      <c r="AB69">
        <f t="shared" si="15"/>
        <v>0.91353048339815646</v>
      </c>
    </row>
    <row r="70" spans="1:28" x14ac:dyDescent="0.3">
      <c r="F70" t="s">
        <v>43</v>
      </c>
      <c r="G70" s="3">
        <f>G36</f>
        <v>0.8290888651352617</v>
      </c>
      <c r="J70">
        <v>7.3858241244859697E-4</v>
      </c>
      <c r="K70">
        <v>3.4463289001708267E-2</v>
      </c>
      <c r="L70">
        <f t="shared" si="9"/>
        <v>0.90454826776137198</v>
      </c>
      <c r="M70">
        <v>1.9656018741611891</v>
      </c>
      <c r="Q70">
        <v>2.1846019175923989E-5</v>
      </c>
      <c r="R70">
        <v>3.4632994007937561E-2</v>
      </c>
      <c r="S70">
        <f>Q70*-1</f>
        <v>-2.1846019175923989E-5</v>
      </c>
      <c r="T70">
        <f t="shared" si="12"/>
        <v>0.90900246739993606</v>
      </c>
      <c r="W70">
        <f t="shared" si="16"/>
        <v>1.1430155077632504</v>
      </c>
      <c r="X70">
        <f t="shared" si="13"/>
        <v>1.1352856572362071</v>
      </c>
      <c r="Y70">
        <f t="shared" si="17"/>
        <v>0.91215088532597044</v>
      </c>
      <c r="Z70">
        <v>1</v>
      </c>
      <c r="AA70">
        <f t="shared" si="14"/>
        <v>28.962647324809549</v>
      </c>
      <c r="AB70">
        <f t="shared" si="15"/>
        <v>0.91215088532597044</v>
      </c>
    </row>
    <row r="71" spans="1:28" x14ac:dyDescent="0.3">
      <c r="G71" s="3"/>
      <c r="J71">
        <v>1.032285082460871E-3</v>
      </c>
      <c r="K71">
        <v>3.4281286402955989E-2</v>
      </c>
      <c r="L71">
        <f t="shared" si="9"/>
        <v>0.89977129666551159</v>
      </c>
      <c r="M71">
        <v>1.9626873197289845</v>
      </c>
      <c r="Q71">
        <v>2.6077168043981692E-5</v>
      </c>
      <c r="R71">
        <v>3.4564562166333829E-2</v>
      </c>
      <c r="S71">
        <f t="shared" ref="S71:S96" si="18">Q71*-1</f>
        <v>-2.6077168043981692E-5</v>
      </c>
      <c r="T71">
        <f t="shared" si="12"/>
        <v>0.90720635607175415</v>
      </c>
      <c r="W71">
        <f t="shared" si="16"/>
        <v>1.1430183719688318</v>
      </c>
      <c r="X71">
        <f t="shared" si="13"/>
        <v>1.1352827930306257</v>
      </c>
      <c r="Y71">
        <f t="shared" si="17"/>
        <v>0.91064585001688003</v>
      </c>
      <c r="Z71">
        <v>1</v>
      </c>
      <c r="AA71">
        <f t="shared" si="14"/>
        <v>28.962644460603968</v>
      </c>
      <c r="AB71">
        <f t="shared" si="15"/>
        <v>0.91064585001688003</v>
      </c>
    </row>
    <row r="72" spans="1:28" x14ac:dyDescent="0.3">
      <c r="F72" t="s">
        <v>104</v>
      </c>
      <c r="G72" s="3">
        <f>AO54</f>
        <v>0</v>
      </c>
      <c r="J72">
        <v>1.4574323323069446E-3</v>
      </c>
      <c r="K72">
        <v>3.4060288830976893E-2</v>
      </c>
      <c r="L72">
        <f t="shared" si="9"/>
        <v>0.89397083545871125</v>
      </c>
      <c r="M72">
        <v>1.9590334888680077</v>
      </c>
      <c r="Q72">
        <v>3.1252697151198049E-5</v>
      </c>
      <c r="R72">
        <v>3.4489700333202027E-2</v>
      </c>
      <c r="S72">
        <f t="shared" si="18"/>
        <v>-3.1252697151198049E-5</v>
      </c>
      <c r="T72">
        <f t="shared" si="12"/>
        <v>0.90524147856173309</v>
      </c>
      <c r="W72">
        <f t="shared" si="16"/>
        <v>1.1430218460191757</v>
      </c>
      <c r="X72">
        <f t="shared" si="13"/>
        <v>1.1352793189802819</v>
      </c>
      <c r="Y72">
        <f t="shared" si="17"/>
        <v>0.90900246739993606</v>
      </c>
      <c r="Z72">
        <v>1</v>
      </c>
      <c r="AA72">
        <f t="shared" si="14"/>
        <v>28.962640986553623</v>
      </c>
      <c r="AB72">
        <f t="shared" si="15"/>
        <v>0.90900246739993606</v>
      </c>
    </row>
    <row r="73" spans="1:28" x14ac:dyDescent="0.3">
      <c r="F73" t="s">
        <v>105</v>
      </c>
      <c r="G73" s="3">
        <f>G72*G10*G14/G35</f>
        <v>0</v>
      </c>
      <c r="J73">
        <v>2.0799462889176568E-3</v>
      </c>
      <c r="K73">
        <v>3.3790722768053109E-2</v>
      </c>
      <c r="L73">
        <f t="shared" si="9"/>
        <v>0.88689561071005552</v>
      </c>
      <c r="M73">
        <v>1.9544068372117569</v>
      </c>
      <c r="Q73">
        <v>3.7612090066765222E-5</v>
      </c>
      <c r="R73">
        <v>3.440772625346547E-2</v>
      </c>
      <c r="S73">
        <f t="shared" si="18"/>
        <v>-3.7612090066765222E-5</v>
      </c>
      <c r="T73">
        <f t="shared" si="12"/>
        <v>0.90308992791247966</v>
      </c>
      <c r="W73">
        <f t="shared" si="16"/>
        <v>1.1430260771680438</v>
      </c>
      <c r="X73">
        <f t="shared" si="13"/>
        <v>1.1352750878314137</v>
      </c>
      <c r="Y73">
        <f t="shared" si="17"/>
        <v>0.90720635607175415</v>
      </c>
      <c r="Z73">
        <v>1</v>
      </c>
      <c r="AA73">
        <f t="shared" si="14"/>
        <v>28.962636755404755</v>
      </c>
      <c r="AB73">
        <f t="shared" si="15"/>
        <v>0.90720635607175415</v>
      </c>
    </row>
    <row r="74" spans="1:28" x14ac:dyDescent="0.3">
      <c r="A74">
        <f>A79/G9</f>
        <v>3.7035866666666672</v>
      </c>
      <c r="F74" t="s">
        <v>106</v>
      </c>
      <c r="G74" s="3">
        <f>G29*G10*G14*G31*G43/G35</f>
        <v>0.95108073468574161</v>
      </c>
      <c r="J74">
        <v>3.0026424812728877E-3</v>
      </c>
      <c r="K74">
        <v>3.3460454450144818E-2</v>
      </c>
      <c r="L74">
        <f t="shared" si="9"/>
        <v>0.87822715092243631</v>
      </c>
      <c r="M74">
        <v>1.9484843947247774</v>
      </c>
      <c r="Q74">
        <v>4.5463326312712225E-5</v>
      </c>
      <c r="R74">
        <v>3.4317877099411073E-2</v>
      </c>
      <c r="S74">
        <f t="shared" si="18"/>
        <v>-4.5463326312712225E-5</v>
      </c>
      <c r="T74">
        <f t="shared" si="12"/>
        <v>0.90073168239924084</v>
      </c>
      <c r="W74">
        <f t="shared" si="16"/>
        <v>1.1430312526971509</v>
      </c>
      <c r="X74">
        <f t="shared" si="13"/>
        <v>1.1352699123023067</v>
      </c>
      <c r="Y74">
        <f t="shared" si="17"/>
        <v>0.90524147856173309</v>
      </c>
      <c r="Z74">
        <v>1</v>
      </c>
      <c r="AA74">
        <f t="shared" si="14"/>
        <v>28.962631579875648</v>
      </c>
      <c r="AB74">
        <f t="shared" si="15"/>
        <v>0.90524147856173309</v>
      </c>
    </row>
    <row r="75" spans="1:28" x14ac:dyDescent="0.3">
      <c r="G75" s="6">
        <f>(G74+G73)*G46</f>
        <v>1.1396290254973105</v>
      </c>
      <c r="J75">
        <v>4.3882309669390504E-3</v>
      </c>
      <c r="K75">
        <v>3.3054105486389686E-2</v>
      </c>
      <c r="L75">
        <f t="shared" si="9"/>
        <v>0.86756182378975566</v>
      </c>
      <c r="M75">
        <v>1.9408133564199352</v>
      </c>
      <c r="Q75">
        <v>5.520484185813743E-5</v>
      </c>
      <c r="R75">
        <v>3.4219298680700019E-2</v>
      </c>
      <c r="S75">
        <f t="shared" si="18"/>
        <v>-5.520484185813743E-5</v>
      </c>
      <c r="T75">
        <f t="shared" si="12"/>
        <v>0.89814432232808461</v>
      </c>
      <c r="W75">
        <f t="shared" si="16"/>
        <v>1.1430376120900665</v>
      </c>
      <c r="X75">
        <f t="shared" si="13"/>
        <v>1.1352635529093911</v>
      </c>
      <c r="Y75">
        <f t="shared" si="17"/>
        <v>0.90308992791247966</v>
      </c>
      <c r="Z75">
        <v>1</v>
      </c>
      <c r="AA75">
        <f t="shared" si="14"/>
        <v>28.962625220482735</v>
      </c>
      <c r="AB75">
        <f t="shared" si="15"/>
        <v>0.90308992791247966</v>
      </c>
    </row>
    <row r="76" spans="1:28" x14ac:dyDescent="0.3">
      <c r="A76" t="s">
        <v>101</v>
      </c>
      <c r="B76" t="s">
        <v>100</v>
      </c>
      <c r="C76" t="s">
        <v>99</v>
      </c>
      <c r="J76">
        <v>6.498316145410743E-3</v>
      </c>
      <c r="K76">
        <v>3.255222421252725E-2</v>
      </c>
      <c r="L76">
        <f t="shared" si="9"/>
        <v>0.85438908694297255</v>
      </c>
      <c r="M76">
        <v>1.9307494461033854</v>
      </c>
      <c r="Q76">
        <v>6.7355341678197652E-5</v>
      </c>
      <c r="R76">
        <v>3.4111032945189683E-2</v>
      </c>
      <c r="S76">
        <f t="shared" si="18"/>
        <v>-6.7355341678197652E-5</v>
      </c>
      <c r="T76">
        <f t="shared" si="12"/>
        <v>0.89530270197348261</v>
      </c>
      <c r="W76">
        <f t="shared" si="16"/>
        <v>1.1430454633263125</v>
      </c>
      <c r="X76">
        <f t="shared" si="13"/>
        <v>1.135255701673145</v>
      </c>
      <c r="Y76">
        <f t="shared" si="17"/>
        <v>0.90073168239924084</v>
      </c>
      <c r="Z76">
        <v>1</v>
      </c>
      <c r="AA76">
        <f t="shared" si="14"/>
        <v>28.962617369246487</v>
      </c>
      <c r="AB76">
        <f t="shared" si="15"/>
        <v>0.90073168239924084</v>
      </c>
    </row>
    <row r="77" spans="1:28" x14ac:dyDescent="0.3">
      <c r="A77">
        <v>0.76200000000000001</v>
      </c>
      <c r="B77">
        <f>G67</f>
        <v>1.1400918279693697</v>
      </c>
      <c r="C77" s="3">
        <v>1.5216562088883783</v>
      </c>
      <c r="G77" s="3"/>
      <c r="J77">
        <v>9.7608981114798363E-3</v>
      </c>
      <c r="K77">
        <v>3.1930321939722568E-2</v>
      </c>
      <c r="L77">
        <f t="shared" si="9"/>
        <v>0.83806619264363702</v>
      </c>
      <c r="M77">
        <v>1.9173609555096989</v>
      </c>
      <c r="Q77">
        <v>8.2594582056988452E-5</v>
      </c>
      <c r="R77">
        <v>3.3992003449284755E-2</v>
      </c>
      <c r="S77">
        <f t="shared" si="18"/>
        <v>-8.2594582056988452E-5</v>
      </c>
      <c r="T77">
        <f t="shared" si="12"/>
        <v>0.89217856822269714</v>
      </c>
      <c r="W77">
        <f t="shared" si="16"/>
        <v>1.1430552048418579</v>
      </c>
      <c r="X77">
        <f t="shared" si="13"/>
        <v>1.1352459601575997</v>
      </c>
      <c r="Y77">
        <f t="shared" si="17"/>
        <v>0.89814432232808461</v>
      </c>
      <c r="Z77">
        <v>1</v>
      </c>
      <c r="AA77">
        <f t="shared" si="14"/>
        <v>28.962607627730943</v>
      </c>
      <c r="AB77">
        <f t="shared" si="15"/>
        <v>0.89814432232808461</v>
      </c>
    </row>
    <row r="78" spans="1:28" x14ac:dyDescent="0.3">
      <c r="A78">
        <v>0.38100000000000001</v>
      </c>
      <c r="B78">
        <v>1.0134149581949954</v>
      </c>
      <c r="C78">
        <v>1.2097885985625885</v>
      </c>
      <c r="G78" s="3"/>
      <c r="J78">
        <v>1.4890052461646919E-2</v>
      </c>
      <c r="K78">
        <v>3.1157822697754765E-2</v>
      </c>
      <c r="L78">
        <f t="shared" si="9"/>
        <v>0.8177906219883142</v>
      </c>
      <c r="M78">
        <v>1.8992754734996722</v>
      </c>
      <c r="Q78">
        <v>1.0181960911399402E-4</v>
      </c>
      <c r="R78">
        <v>3.386099841621399E-2</v>
      </c>
      <c r="S78">
        <f t="shared" si="18"/>
        <v>-1.0181960911399402E-4</v>
      </c>
      <c r="T78">
        <f t="shared" si="12"/>
        <v>0.88874011591112845</v>
      </c>
      <c r="W78">
        <f t="shared" si="16"/>
        <v>1.1430673553416779</v>
      </c>
      <c r="X78">
        <f t="shared" si="13"/>
        <v>1.1352338096577796</v>
      </c>
      <c r="Y78">
        <f t="shared" si="17"/>
        <v>0.89530270197348261</v>
      </c>
      <c r="Z78">
        <v>1</v>
      </c>
      <c r="AA78">
        <f t="shared" si="14"/>
        <v>28.962595477231122</v>
      </c>
      <c r="AB78">
        <f t="shared" si="15"/>
        <v>0.89530270197348261</v>
      </c>
    </row>
    <row r="79" spans="1:28" x14ac:dyDescent="0.3">
      <c r="A79">
        <v>0.141106652</v>
      </c>
      <c r="B79">
        <v>1.0134149581949954</v>
      </c>
      <c r="C79">
        <v>1.0098189476467287</v>
      </c>
      <c r="G79" s="3"/>
      <c r="J79">
        <v>2.3104483541092749E-2</v>
      </c>
      <c r="K79">
        <v>3.0197041349522204E-2</v>
      </c>
      <c r="L79">
        <f t="shared" si="9"/>
        <v>0.79257326376698711</v>
      </c>
      <c r="M79">
        <v>1.8744268528089703</v>
      </c>
      <c r="Q79">
        <v>1.2622297155096216E-4</v>
      </c>
      <c r="R79">
        <v>3.3716650926544495E-2</v>
      </c>
      <c r="S79">
        <f t="shared" si="18"/>
        <v>-1.2622297155096216E-4</v>
      </c>
      <c r="T79">
        <f t="shared" si="12"/>
        <v>0.88495146788830703</v>
      </c>
      <c r="W79">
        <f t="shared" si="16"/>
        <v>1.1430825945820569</v>
      </c>
      <c r="X79">
        <f t="shared" si="13"/>
        <v>1.1352185704174007</v>
      </c>
      <c r="Y79">
        <f t="shared" si="17"/>
        <v>0.89217856822269714</v>
      </c>
      <c r="Z79">
        <v>1</v>
      </c>
      <c r="AA79">
        <f t="shared" si="14"/>
        <v>28.962580237990743</v>
      </c>
      <c r="AB79">
        <f t="shared" si="15"/>
        <v>0.89217856822269714</v>
      </c>
    </row>
    <row r="80" spans="1:28" x14ac:dyDescent="0.3">
      <c r="A80" s="4">
        <f>(B79-0.8921956)/ 0.8335773</f>
        <v>0.14542065648260266</v>
      </c>
      <c r="B80">
        <v>1.0134149581949954</v>
      </c>
      <c r="C80">
        <v>1.0134348545569334</v>
      </c>
      <c r="G80" s="3"/>
      <c r="J80">
        <v>3.654231702082239E-2</v>
      </c>
      <c r="K80">
        <v>2.9002395177999726E-2</v>
      </c>
      <c r="L80">
        <f t="shared" si="9"/>
        <v>0.76121772120734199</v>
      </c>
      <c r="M80">
        <v>1.8396187908888644</v>
      </c>
      <c r="Q80">
        <v>1.5740247080998126E-4</v>
      </c>
      <c r="R80">
        <v>3.3557415705046084E-2</v>
      </c>
      <c r="S80">
        <f t="shared" si="18"/>
        <v>-1.5740247080998126E-4</v>
      </c>
      <c r="T80">
        <f t="shared" si="12"/>
        <v>0.88077206574924116</v>
      </c>
      <c r="W80">
        <f t="shared" si="16"/>
        <v>1.1431018196091138</v>
      </c>
      <c r="X80">
        <f t="shared" si="13"/>
        <v>1.1351993453903437</v>
      </c>
      <c r="Y80">
        <f t="shared" si="17"/>
        <v>0.88874011591112845</v>
      </c>
      <c r="Z80">
        <v>1</v>
      </c>
      <c r="AA80">
        <f t="shared" si="14"/>
        <v>28.962561012963686</v>
      </c>
      <c r="AB80">
        <f t="shared" si="15"/>
        <v>0.88874011591112845</v>
      </c>
    </row>
    <row r="81" spans="7:28" x14ac:dyDescent="0.3">
      <c r="G81" s="3"/>
      <c r="J81">
        <v>5.9092148775029496E-2</v>
      </c>
      <c r="K81">
        <v>2.7520116821393426E-2</v>
      </c>
      <c r="L81">
        <f t="shared" si="9"/>
        <v>0.72231277746439448</v>
      </c>
      <c r="M81">
        <v>1.7897262628448958</v>
      </c>
      <c r="Q81">
        <v>1.9751662746039444E-4</v>
      </c>
      <c r="R81">
        <v>3.3381541876807454E-2</v>
      </c>
      <c r="S81">
        <f t="shared" si="18"/>
        <v>-1.9751662746039444E-4</v>
      </c>
      <c r="T81">
        <f t="shared" si="12"/>
        <v>0.87615595477184927</v>
      </c>
      <c r="W81">
        <f t="shared" si="16"/>
        <v>1.1431262229715509</v>
      </c>
      <c r="X81">
        <f t="shared" si="13"/>
        <v>1.1351749420279067</v>
      </c>
      <c r="Y81">
        <f t="shared" si="17"/>
        <v>0.88495146788830703</v>
      </c>
      <c r="Z81">
        <v>1</v>
      </c>
      <c r="AA81">
        <f t="shared" si="14"/>
        <v>28.962536609601251</v>
      </c>
      <c r="AB81">
        <f t="shared" si="15"/>
        <v>0.88495146788830703</v>
      </c>
    </row>
    <row r="82" spans="7:28" x14ac:dyDescent="0.3">
      <c r="J82">
        <v>9.8201373805843206E-2</v>
      </c>
      <c r="K82">
        <v>2.5688516787438186E-2</v>
      </c>
      <c r="L82">
        <f t="shared" si="9"/>
        <v>0.67423928575953251</v>
      </c>
      <c r="M82">
        <v>1.716108465576204</v>
      </c>
      <c r="Q82">
        <v>2.4950711804523537E-4</v>
      </c>
      <c r="R82">
        <v>3.3187040970971658E-2</v>
      </c>
      <c r="S82">
        <f t="shared" si="18"/>
        <v>-2.4950711804523537E-4</v>
      </c>
      <c r="T82">
        <f t="shared" si="12"/>
        <v>0.87105094411999118</v>
      </c>
      <c r="W82">
        <f t="shared" si="16"/>
        <v>1.1431574024708098</v>
      </c>
      <c r="X82">
        <f t="shared" si="13"/>
        <v>1.1351437625286478</v>
      </c>
      <c r="Y82">
        <f t="shared" si="17"/>
        <v>0.88077206574924116</v>
      </c>
      <c r="Z82">
        <v>1</v>
      </c>
      <c r="AA82">
        <f t="shared" si="14"/>
        <v>28.962505430101992</v>
      </c>
      <c r="AB82">
        <f t="shared" si="15"/>
        <v>0.88077206574924116</v>
      </c>
    </row>
    <row r="83" spans="7:28" x14ac:dyDescent="0.3">
      <c r="J83">
        <v>0.16938759966271899</v>
      </c>
      <c r="K83">
        <v>2.3437156608535244E-2</v>
      </c>
      <c r="L83">
        <f t="shared" si="9"/>
        <v>0.61514846741562323</v>
      </c>
      <c r="M83">
        <v>1.6030381271958694</v>
      </c>
      <c r="Q83">
        <v>3.1742041559779262E-4</v>
      </c>
      <c r="R83">
        <v>3.2971649353718484E-2</v>
      </c>
      <c r="S83">
        <f t="shared" si="18"/>
        <v>-3.1742041559779262E-4</v>
      </c>
      <c r="T83">
        <f t="shared" si="12"/>
        <v>0.86539762083250626</v>
      </c>
      <c r="W83">
        <f t="shared" si="16"/>
        <v>1.1431975166274602</v>
      </c>
      <c r="X83">
        <f t="shared" si="13"/>
        <v>1.1351036483719974</v>
      </c>
      <c r="Y83">
        <f t="shared" si="17"/>
        <v>0.87615595477184927</v>
      </c>
      <c r="Z83">
        <v>1</v>
      </c>
      <c r="AA83">
        <f t="shared" si="14"/>
        <v>28.962465315945341</v>
      </c>
      <c r="AB83">
        <f t="shared" si="15"/>
        <v>0.87615595477184927</v>
      </c>
    </row>
    <row r="84" spans="7:28" x14ac:dyDescent="0.3">
      <c r="J84">
        <v>0.31060295260499893</v>
      </c>
      <c r="K84">
        <v>2.0674571180795128E-2</v>
      </c>
      <c r="L84">
        <f t="shared" si="9"/>
        <v>0.54263966353792992</v>
      </c>
      <c r="M84">
        <v>1.4178404107431801</v>
      </c>
      <c r="N84" s="2"/>
      <c r="Q84">
        <v>4.0687811935656332E-4</v>
      </c>
      <c r="R84">
        <v>3.273278419123507E-2</v>
      </c>
      <c r="S84">
        <f t="shared" si="18"/>
        <v>-4.0687811935656332E-4</v>
      </c>
      <c r="T84">
        <f t="shared" si="12"/>
        <v>0.8591281939956712</v>
      </c>
      <c r="W84">
        <f t="shared" si="16"/>
        <v>1.1432495071180451</v>
      </c>
      <c r="X84">
        <f t="shared" si="13"/>
        <v>1.1350516578814125</v>
      </c>
      <c r="Y84">
        <f t="shared" si="17"/>
        <v>0.87105094411999118</v>
      </c>
      <c r="Z84">
        <v>1</v>
      </c>
      <c r="AA84">
        <f t="shared" si="14"/>
        <v>28.962413325454754</v>
      </c>
      <c r="AB84">
        <f t="shared" si="15"/>
        <v>0.87105094411999118</v>
      </c>
    </row>
    <row r="85" spans="7:28" x14ac:dyDescent="0.3">
      <c r="J85">
        <v>0.64510892618915505</v>
      </c>
      <c r="K85">
        <v>1.7285095795573698E-2</v>
      </c>
      <c r="L85">
        <f t="shared" si="9"/>
        <v>0.45367705500193439</v>
      </c>
      <c r="M85">
        <v>1.0813482856722585</v>
      </c>
      <c r="N85" s="2"/>
      <c r="Q85">
        <v>5.2577293945851595E-4</v>
      </c>
      <c r="R85">
        <v>3.2467491990635457E-2</v>
      </c>
      <c r="S85">
        <f t="shared" si="18"/>
        <v>-5.2577293945851595E-4</v>
      </c>
      <c r="T85">
        <f t="shared" si="12"/>
        <v>0.85216514411116695</v>
      </c>
      <c r="W85">
        <f t="shared" si="16"/>
        <v>1.1433174204155976</v>
      </c>
      <c r="X85">
        <f t="shared" si="13"/>
        <v>1.13498374458386</v>
      </c>
      <c r="Y85">
        <f t="shared" si="17"/>
        <v>0.86539762083250626</v>
      </c>
      <c r="Z85">
        <v>1</v>
      </c>
      <c r="AA85">
        <f t="shared" si="14"/>
        <v>28.962345412157202</v>
      </c>
      <c r="AB85">
        <f t="shared" si="15"/>
        <v>0.86539762083250626</v>
      </c>
    </row>
    <row r="86" spans="7:28" x14ac:dyDescent="0.3">
      <c r="J86">
        <v>1.121800438630479</v>
      </c>
      <c r="K86">
        <v>1.4996135439308524E-2</v>
      </c>
      <c r="L86">
        <f t="shared" si="9"/>
        <v>0.39359935536242852</v>
      </c>
      <c r="M86">
        <v>0.74063390752855063</v>
      </c>
      <c r="N86" s="2"/>
      <c r="Q86">
        <v>6.8531169602994784E-4</v>
      </c>
      <c r="R86">
        <v>3.2172388789553752E-2</v>
      </c>
      <c r="S86">
        <f t="shared" si="18"/>
        <v>-6.8531169602994784E-4</v>
      </c>
      <c r="T86">
        <f t="shared" si="12"/>
        <v>0.84441965326912749</v>
      </c>
      <c r="W86">
        <f t="shared" si="16"/>
        <v>1.1434068781193563</v>
      </c>
      <c r="X86">
        <f t="shared" si="13"/>
        <v>1.1348942868801013</v>
      </c>
      <c r="Y86">
        <f t="shared" si="17"/>
        <v>0.8591281939956712</v>
      </c>
      <c r="Z86">
        <v>1</v>
      </c>
      <c r="AA86">
        <f t="shared" si="14"/>
        <v>28.962255954453443</v>
      </c>
      <c r="AB86">
        <f t="shared" si="15"/>
        <v>0.8591281939956712</v>
      </c>
    </row>
    <row r="87" spans="7:28" x14ac:dyDescent="0.3">
      <c r="J87">
        <v>1.1353011649994578</v>
      </c>
      <c r="K87">
        <v>1.4951806536307878E-2</v>
      </c>
      <c r="L87">
        <f t="shared" si="9"/>
        <v>0.39243586709469502</v>
      </c>
      <c r="M87">
        <v>0.73272763032880817</v>
      </c>
      <c r="N87" s="2"/>
      <c r="Q87">
        <v>9.0159949765819568E-4</v>
      </c>
      <c r="R87">
        <v>3.184359122018611E-2</v>
      </c>
      <c r="S87">
        <f t="shared" si="18"/>
        <v>-9.0159949765819568E-4</v>
      </c>
      <c r="T87">
        <f t="shared" si="12"/>
        <v>0.8357897958054098</v>
      </c>
      <c r="W87">
        <f t="shared" si="16"/>
        <v>1.1435257729394583</v>
      </c>
      <c r="X87">
        <f t="shared" si="13"/>
        <v>1.1347753920599992</v>
      </c>
      <c r="Y87">
        <f t="shared" si="17"/>
        <v>0.85216514411116695</v>
      </c>
      <c r="Z87">
        <v>1</v>
      </c>
      <c r="AA87">
        <f t="shared" si="14"/>
        <v>28.962137059633342</v>
      </c>
      <c r="AB87">
        <f t="shared" si="15"/>
        <v>0.85216514411116695</v>
      </c>
    </row>
    <row r="88" spans="7:28" x14ac:dyDescent="0.3">
      <c r="N88" s="2"/>
      <c r="Q88">
        <v>1.1980805681300485E-3</v>
      </c>
      <c r="R88">
        <v>3.1476638083573122E-2</v>
      </c>
      <c r="S88">
        <f t="shared" si="18"/>
        <v>-1.1980805681300485E-3</v>
      </c>
      <c r="T88">
        <f t="shared" si="12"/>
        <v>0.82615847988380908</v>
      </c>
      <c r="W88">
        <f t="shared" si="16"/>
        <v>1.1436853116960297</v>
      </c>
      <c r="X88">
        <f t="shared" si="13"/>
        <v>1.1346158533034278</v>
      </c>
      <c r="Y88">
        <f t="shared" si="17"/>
        <v>0.84441965326912749</v>
      </c>
      <c r="Z88">
        <v>1</v>
      </c>
      <c r="AA88">
        <f t="shared" si="14"/>
        <v>28.961977520876772</v>
      </c>
      <c r="AB88">
        <f t="shared" si="15"/>
        <v>0.84441965326912749</v>
      </c>
    </row>
    <row r="89" spans="7:28" x14ac:dyDescent="0.3">
      <c r="N89" s="2"/>
      <c r="Q89">
        <v>1.609356706361538E-3</v>
      </c>
      <c r="R89">
        <v>3.1066402930776994E-2</v>
      </c>
      <c r="S89">
        <f t="shared" si="18"/>
        <v>-1.609356706361538E-3</v>
      </c>
      <c r="T89">
        <f t="shared" si="12"/>
        <v>0.8153911530387663</v>
      </c>
      <c r="W89">
        <f t="shared" si="16"/>
        <v>1.143901599497658</v>
      </c>
      <c r="X89">
        <f t="shared" si="13"/>
        <v>1.1343995655017995</v>
      </c>
      <c r="Y89">
        <f t="shared" si="17"/>
        <v>0.8357897958054098</v>
      </c>
      <c r="Z89">
        <v>1</v>
      </c>
      <c r="AA89">
        <f t="shared" si="14"/>
        <v>28.961761233075144</v>
      </c>
      <c r="AB89">
        <f t="shared" si="15"/>
        <v>0.8357897958054098</v>
      </c>
    </row>
    <row r="90" spans="7:28" x14ac:dyDescent="0.3">
      <c r="N90" s="2"/>
      <c r="Q90">
        <v>2.1872587163415894E-3</v>
      </c>
      <c r="R90">
        <v>3.0606999811243613E-2</v>
      </c>
      <c r="S90">
        <f t="shared" si="18"/>
        <v>-2.1872587163415894E-3</v>
      </c>
      <c r="T90">
        <f t="shared" si="12"/>
        <v>0.80333332837909754</v>
      </c>
      <c r="W90">
        <f t="shared" si="16"/>
        <v>1.1441980805681298</v>
      </c>
      <c r="X90">
        <f t="shared" si="13"/>
        <v>1.1341030844313278</v>
      </c>
      <c r="Y90">
        <f t="shared" si="17"/>
        <v>0.82615847988380908</v>
      </c>
      <c r="Z90">
        <v>1</v>
      </c>
      <c r="AA90">
        <f t="shared" si="14"/>
        <v>28.96146475200467</v>
      </c>
      <c r="AB90">
        <f t="shared" si="15"/>
        <v>0.82615847988380908</v>
      </c>
    </row>
    <row r="91" spans="7:28" x14ac:dyDescent="0.3">
      <c r="N91" s="2"/>
      <c r="Q91">
        <v>3.0106684293484164E-3</v>
      </c>
      <c r="R91">
        <v>3.0091687415906929E-2</v>
      </c>
      <c r="S91">
        <f t="shared" si="18"/>
        <v>-3.0106684293484164E-3</v>
      </c>
      <c r="T91">
        <f t="shared" si="12"/>
        <v>0.78980806865897468</v>
      </c>
      <c r="W91">
        <f t="shared" si="16"/>
        <v>1.1446093567063613</v>
      </c>
      <c r="X91">
        <f t="shared" si="13"/>
        <v>1.1336918082930962</v>
      </c>
      <c r="Y91">
        <f t="shared" si="17"/>
        <v>0.8153911530387663</v>
      </c>
      <c r="Z91">
        <v>1</v>
      </c>
      <c r="AA91">
        <f t="shared" si="14"/>
        <v>28.961053475866439</v>
      </c>
      <c r="AB91">
        <f t="shared" si="15"/>
        <v>0.8153911530387663</v>
      </c>
    </row>
    <row r="92" spans="7:28" x14ac:dyDescent="0.3">
      <c r="N92" s="2"/>
      <c r="Q92">
        <v>4.2017026793941198E-3</v>
      </c>
      <c r="R92">
        <v>2.9512834811000775E-2</v>
      </c>
      <c r="S92">
        <f t="shared" si="18"/>
        <v>-4.2017026793941198E-3</v>
      </c>
      <c r="T92">
        <f t="shared" si="12"/>
        <v>0.77461508690290759</v>
      </c>
      <c r="W92">
        <f t="shared" si="16"/>
        <v>1.1451872587163414</v>
      </c>
      <c r="X92">
        <f t="shared" si="13"/>
        <v>1.1331139062831161</v>
      </c>
      <c r="Y92">
        <f t="shared" si="17"/>
        <v>0.80333332837909754</v>
      </c>
      <c r="Z92">
        <v>1</v>
      </c>
      <c r="AA92">
        <f t="shared" si="14"/>
        <v>28.96047557385646</v>
      </c>
      <c r="AB92">
        <f t="shared" si="15"/>
        <v>0.80333332837909754</v>
      </c>
    </row>
    <row r="93" spans="7:28" x14ac:dyDescent="0.3">
      <c r="N93" s="2"/>
      <c r="Q93">
        <v>5.6256363122401468E-3</v>
      </c>
      <c r="R93">
        <v>2.8970741064393516E-2</v>
      </c>
      <c r="S93">
        <f t="shared" si="18"/>
        <v>-5.6256363122401468E-3</v>
      </c>
      <c r="T93">
        <f t="shared" si="12"/>
        <v>0.76038690457725777</v>
      </c>
      <c r="W93">
        <f t="shared" si="16"/>
        <v>1.1460106684293483</v>
      </c>
      <c r="X93">
        <f t="shared" si="13"/>
        <v>1.1322904965701093</v>
      </c>
      <c r="Y93">
        <f t="shared" si="17"/>
        <v>0.78980806865897468</v>
      </c>
      <c r="Z93">
        <v>1</v>
      </c>
      <c r="AA93">
        <f t="shared" si="14"/>
        <v>28.959652164143453</v>
      </c>
      <c r="AB93">
        <f t="shared" si="15"/>
        <v>0.78980806865897468</v>
      </c>
    </row>
    <row r="94" spans="7:28" x14ac:dyDescent="0.3">
      <c r="N94" s="2"/>
      <c r="Q94">
        <v>8.2674210421531703E-3</v>
      </c>
      <c r="R94">
        <v>2.8204413883779381E-2</v>
      </c>
      <c r="S94">
        <f t="shared" si="18"/>
        <v>-8.2674210421531703E-3</v>
      </c>
      <c r="T94">
        <f t="shared" si="12"/>
        <v>0.74027333028292353</v>
      </c>
      <c r="W94">
        <f t="shared" si="16"/>
        <v>1.1472017026793939</v>
      </c>
      <c r="X94">
        <f t="shared" si="13"/>
        <v>1.1310994623200636</v>
      </c>
      <c r="Y94">
        <f t="shared" si="17"/>
        <v>0.77461508690290759</v>
      </c>
      <c r="Z94">
        <v>1</v>
      </c>
      <c r="AA94">
        <f t="shared" si="14"/>
        <v>28.958461129893408</v>
      </c>
      <c r="AB94">
        <f t="shared" si="15"/>
        <v>0.77461508690290759</v>
      </c>
    </row>
    <row r="95" spans="7:28" x14ac:dyDescent="0.3">
      <c r="N95" s="2"/>
      <c r="Q95">
        <v>1.1978781575864732E-2</v>
      </c>
      <c r="R95">
        <v>2.7411115594294176E-2</v>
      </c>
      <c r="S95">
        <f t="shared" si="18"/>
        <v>-1.1978781575864732E-2</v>
      </c>
      <c r="T95">
        <f t="shared" si="12"/>
        <v>0.71945185286861368</v>
      </c>
      <c r="W95">
        <f t="shared" si="16"/>
        <v>1.14862563631224</v>
      </c>
      <c r="X95">
        <f t="shared" si="13"/>
        <v>1.1296755286872175</v>
      </c>
      <c r="Y95">
        <f t="shared" si="17"/>
        <v>0.76038690457725777</v>
      </c>
      <c r="Z95">
        <v>1</v>
      </c>
      <c r="AA95">
        <f t="shared" si="14"/>
        <v>28.957037196260561</v>
      </c>
      <c r="AB95">
        <f t="shared" si="15"/>
        <v>0.76038690457725777</v>
      </c>
    </row>
    <row r="96" spans="7:28" x14ac:dyDescent="0.3">
      <c r="N96" s="2"/>
      <c r="Q96">
        <v>1.796273219797764E-2</v>
      </c>
      <c r="R96">
        <v>2.6483424291500877E-2</v>
      </c>
      <c r="S96">
        <f t="shared" si="18"/>
        <v>-1.796273219797764E-2</v>
      </c>
      <c r="T96">
        <f t="shared" si="12"/>
        <v>0.69510299977692602</v>
      </c>
      <c r="W96">
        <f t="shared" si="16"/>
        <v>1.151267421042153</v>
      </c>
      <c r="X96">
        <f t="shared" si="13"/>
        <v>1.1270337439573046</v>
      </c>
      <c r="Y96">
        <f t="shared" si="17"/>
        <v>0.74027333028292353</v>
      </c>
      <c r="Z96">
        <v>1</v>
      </c>
      <c r="AA96">
        <f t="shared" si="14"/>
        <v>28.954395411530648</v>
      </c>
      <c r="AB96">
        <f t="shared" si="15"/>
        <v>0.74027333028292353</v>
      </c>
    </row>
    <row r="97" spans="14:28" x14ac:dyDescent="0.3">
      <c r="N97" s="2"/>
      <c r="Q97">
        <v>2.7295287142134833E-2</v>
      </c>
      <c r="R97">
        <v>2.5461370040737709E-2</v>
      </c>
      <c r="S97">
        <f t="shared" ref="S97:S105" si="19">Q97*-1</f>
        <v>-2.7295287142134833E-2</v>
      </c>
      <c r="T97">
        <f t="shared" ref="T97:T105" si="20">R97/$G$9</f>
        <v>0.66827742889075359</v>
      </c>
      <c r="W97">
        <f t="shared" si="16"/>
        <v>1.1549787815758645</v>
      </c>
      <c r="X97">
        <f t="shared" si="13"/>
        <v>1.123322383423593</v>
      </c>
      <c r="Y97">
        <f t="shared" si="17"/>
        <v>0.71945185286861368</v>
      </c>
      <c r="Z97">
        <v>1</v>
      </c>
      <c r="AA97">
        <f t="shared" si="14"/>
        <v>28.950684050996937</v>
      </c>
      <c r="AB97">
        <f t="shared" si="15"/>
        <v>0.71945185286861368</v>
      </c>
    </row>
    <row r="98" spans="14:28" x14ac:dyDescent="0.3">
      <c r="N98" s="2"/>
      <c r="Q98">
        <v>4.2646581980410103E-2</v>
      </c>
      <c r="R98">
        <v>2.4305388847379619E-2</v>
      </c>
      <c r="S98">
        <f t="shared" si="19"/>
        <v>-4.2646581980410103E-2</v>
      </c>
      <c r="T98">
        <f t="shared" si="20"/>
        <v>0.63793671515432082</v>
      </c>
      <c r="W98">
        <f t="shared" si="16"/>
        <v>1.1609627321979774</v>
      </c>
      <c r="X98">
        <f t="shared" si="13"/>
        <v>1.1173384328014802</v>
      </c>
      <c r="Y98">
        <f t="shared" si="17"/>
        <v>0.69510299977692602</v>
      </c>
      <c r="Z98">
        <v>1</v>
      </c>
      <c r="AA98">
        <f t="shared" si="14"/>
        <v>28.944700100374824</v>
      </c>
      <c r="AB98">
        <f t="shared" si="15"/>
        <v>0.69510299977692602</v>
      </c>
    </row>
    <row r="99" spans="14:28" x14ac:dyDescent="0.3">
      <c r="N99" s="2"/>
      <c r="Q99">
        <v>6.8044209731627059E-2</v>
      </c>
      <c r="R99">
        <v>2.3032172356751941E-2</v>
      </c>
      <c r="S99">
        <f t="shared" si="19"/>
        <v>-6.8044209731627059E-2</v>
      </c>
      <c r="T99">
        <f t="shared" si="20"/>
        <v>0.60451895949480172</v>
      </c>
      <c r="W99">
        <f t="shared" si="16"/>
        <v>1.1702952871421346</v>
      </c>
      <c r="X99">
        <f t="shared" si="13"/>
        <v>1.108005877857323</v>
      </c>
      <c r="Y99">
        <f t="shared" si="17"/>
        <v>0.66827742889075359</v>
      </c>
      <c r="Z99">
        <v>1</v>
      </c>
      <c r="AA99">
        <f t="shared" si="14"/>
        <v>28.935367545430665</v>
      </c>
      <c r="AB99">
        <f t="shared" si="15"/>
        <v>0.66827742889075359</v>
      </c>
    </row>
    <row r="100" spans="14:28" x14ac:dyDescent="0.3">
      <c r="N100" s="2"/>
      <c r="Q100">
        <v>0.11172718624957834</v>
      </c>
      <c r="R100">
        <v>2.1627239191901904E-2</v>
      </c>
      <c r="S100">
        <f t="shared" si="19"/>
        <v>-0.11172718624957834</v>
      </c>
      <c r="T100">
        <f t="shared" si="20"/>
        <v>0.56764407327826527</v>
      </c>
      <c r="W100">
        <f t="shared" si="16"/>
        <v>1.1856465819804098</v>
      </c>
      <c r="X100">
        <f t="shared" si="13"/>
        <v>1.0926545830190477</v>
      </c>
      <c r="Y100">
        <f t="shared" si="17"/>
        <v>0.63793671515432082</v>
      </c>
      <c r="Z100">
        <v>1</v>
      </c>
      <c r="AA100">
        <f t="shared" si="14"/>
        <v>28.92001625059239</v>
      </c>
      <c r="AB100">
        <f t="shared" si="15"/>
        <v>0.63793671515432082</v>
      </c>
    </row>
    <row r="101" spans="14:28" x14ac:dyDescent="0.3">
      <c r="N101" s="2"/>
      <c r="Q101">
        <v>0.18770247872348747</v>
      </c>
      <c r="R101">
        <v>2.0124389178513068E-2</v>
      </c>
      <c r="S101">
        <f t="shared" si="19"/>
        <v>-0.18770247872348747</v>
      </c>
      <c r="T101">
        <f t="shared" si="20"/>
        <v>0.52819919103708846</v>
      </c>
      <c r="W101">
        <f t="shared" si="16"/>
        <v>1.211044209731627</v>
      </c>
      <c r="X101">
        <f t="shared" si="13"/>
        <v>1.0672569552678306</v>
      </c>
      <c r="Y101">
        <f t="shared" si="17"/>
        <v>0.60451895949480172</v>
      </c>
      <c r="Z101">
        <v>1</v>
      </c>
      <c r="AA101">
        <f t="shared" si="14"/>
        <v>28.894618622841172</v>
      </c>
      <c r="AB101">
        <f t="shared" si="15"/>
        <v>0.60451895949480172</v>
      </c>
    </row>
    <row r="102" spans="14:28" x14ac:dyDescent="0.3">
      <c r="N102" s="2"/>
      <c r="Q102">
        <v>0.32475461668405303</v>
      </c>
      <c r="R102">
        <v>1.8538062810990127E-2</v>
      </c>
      <c r="S102">
        <f t="shared" si="19"/>
        <v>-0.32475461668405303</v>
      </c>
      <c r="T102">
        <f t="shared" si="20"/>
        <v>0.48656332837244431</v>
      </c>
      <c r="W102">
        <f t="shared" si="16"/>
        <v>1.2547271862495781</v>
      </c>
      <c r="X102">
        <f t="shared" si="13"/>
        <v>1.0235739787498794</v>
      </c>
      <c r="Y102">
        <f t="shared" si="17"/>
        <v>0.56764407327826527</v>
      </c>
      <c r="Z102">
        <v>1</v>
      </c>
      <c r="AA102">
        <f t="shared" si="14"/>
        <v>28.850935646323222</v>
      </c>
      <c r="AB102">
        <f t="shared" si="15"/>
        <v>0.56764407327826527</v>
      </c>
    </row>
    <row r="103" spans="14:28" x14ac:dyDescent="0.3">
      <c r="N103" s="2"/>
      <c r="Q103">
        <v>0.57258675267684533</v>
      </c>
      <c r="R103">
        <v>1.6950930058598507E-2</v>
      </c>
      <c r="S103">
        <f t="shared" si="19"/>
        <v>-0.57258675267684533</v>
      </c>
      <c r="T103">
        <f t="shared" si="20"/>
        <v>0.44490630075061705</v>
      </c>
      <c r="W103">
        <f t="shared" si="16"/>
        <v>1.3307024787234873</v>
      </c>
      <c r="X103">
        <f t="shared" si="13"/>
        <v>0.94759868627597021</v>
      </c>
      <c r="Y103">
        <f t="shared" si="17"/>
        <v>0.52819919103708846</v>
      </c>
      <c r="Z103">
        <v>1</v>
      </c>
      <c r="AA103">
        <f t="shared" si="14"/>
        <v>28.774960353849313</v>
      </c>
      <c r="AB103">
        <f t="shared" si="15"/>
        <v>0.52819919103708846</v>
      </c>
    </row>
    <row r="104" spans="14:28" x14ac:dyDescent="0.3">
      <c r="N104" s="2"/>
      <c r="Q104">
        <v>1.0431296462312867</v>
      </c>
      <c r="R104">
        <v>1.5401075543413568E-2</v>
      </c>
      <c r="S104">
        <f t="shared" si="19"/>
        <v>-1.0431296462312867</v>
      </c>
      <c r="T104">
        <f t="shared" si="20"/>
        <v>0.40422770455153728</v>
      </c>
      <c r="W104">
        <f t="shared" si="16"/>
        <v>1.4677546166840529</v>
      </c>
      <c r="X104">
        <f t="shared" si="13"/>
        <v>0.81054654831540462</v>
      </c>
      <c r="Y104">
        <f t="shared" si="17"/>
        <v>0.48656332837244431</v>
      </c>
      <c r="Z104">
        <v>1</v>
      </c>
      <c r="AA104">
        <f t="shared" si="14"/>
        <v>28.637908215888746</v>
      </c>
      <c r="AB104">
        <f t="shared" si="15"/>
        <v>0.48656332837244431</v>
      </c>
    </row>
    <row r="105" spans="14:28" x14ac:dyDescent="0.3">
      <c r="N105" s="2"/>
      <c r="Q105">
        <v>1.1353011649994578</v>
      </c>
      <c r="R105">
        <v>1.5196772673339107E-2</v>
      </c>
      <c r="S105">
        <f t="shared" si="19"/>
        <v>-1.1353011649994578</v>
      </c>
      <c r="T105">
        <f t="shared" si="20"/>
        <v>0.3988654244970895</v>
      </c>
      <c r="W105">
        <f t="shared" si="16"/>
        <v>1.7155867526768451</v>
      </c>
      <c r="X105">
        <f t="shared" si="13"/>
        <v>0.56271441232261243</v>
      </c>
      <c r="Y105">
        <f t="shared" si="17"/>
        <v>0.44490630075061705</v>
      </c>
      <c r="Z105">
        <v>1</v>
      </c>
      <c r="AA105">
        <f t="shared" si="14"/>
        <v>28.390076079895955</v>
      </c>
      <c r="AB105">
        <f t="shared" si="15"/>
        <v>0.44490630075061705</v>
      </c>
    </row>
    <row r="106" spans="14:28" x14ac:dyDescent="0.3">
      <c r="N106" s="2"/>
      <c r="W106">
        <f t="shared" si="16"/>
        <v>2.1861296462312865</v>
      </c>
      <c r="X106">
        <f t="shared" si="13"/>
        <v>9.217151876817109E-2</v>
      </c>
      <c r="Y106">
        <f t="shared" si="17"/>
        <v>0.40422770455153728</v>
      </c>
      <c r="Z106">
        <v>1</v>
      </c>
      <c r="AA106">
        <f t="shared" si="14"/>
        <v>27.919533186341514</v>
      </c>
      <c r="AB106">
        <f t="shared" si="15"/>
        <v>0.40422770455153728</v>
      </c>
    </row>
    <row r="107" spans="14:28" x14ac:dyDescent="0.3">
      <c r="N107" s="2"/>
      <c r="W107">
        <f t="shared" si="16"/>
        <v>2.2783011649994576</v>
      </c>
      <c r="X107">
        <f t="shared" si="13"/>
        <v>0</v>
      </c>
      <c r="Y107">
        <f>T105</f>
        <v>0.3988654244970895</v>
      </c>
      <c r="Z107">
        <v>1</v>
      </c>
      <c r="AA107">
        <f t="shared" si="14"/>
        <v>27.827361667573342</v>
      </c>
      <c r="AB107">
        <f t="shared" si="15"/>
        <v>0.3988654244970895</v>
      </c>
    </row>
    <row r="108" spans="14:28" x14ac:dyDescent="0.3">
      <c r="N108" s="2"/>
      <c r="W108">
        <f>W56</f>
        <v>0</v>
      </c>
      <c r="Z108">
        <v>2</v>
      </c>
      <c r="AA108">
        <f t="shared" si="14"/>
        <v>27.827361667573342</v>
      </c>
      <c r="AB108">
        <f>AB56</f>
        <v>0.98291280402450532</v>
      </c>
    </row>
    <row r="109" spans="14:28" x14ac:dyDescent="0.3">
      <c r="N109" s="2"/>
      <c r="W109">
        <f t="shared" ref="W109:W172" si="21">W57</f>
        <v>1.1429999999999998</v>
      </c>
      <c r="Z109">
        <v>2</v>
      </c>
      <c r="AA109">
        <f t="shared" si="14"/>
        <v>26.684361667573341</v>
      </c>
      <c r="AB109">
        <f t="shared" ref="AB109:AB172" si="22">AB57</f>
        <v>0.98291280402450532</v>
      </c>
    </row>
    <row r="110" spans="14:28" x14ac:dyDescent="0.3">
      <c r="N110" s="2"/>
      <c r="W110">
        <f t="shared" si="21"/>
        <v>1.1429999999999998</v>
      </c>
      <c r="Z110">
        <v>2</v>
      </c>
      <c r="AA110">
        <f t="shared" si="14"/>
        <v>26.684361667573341</v>
      </c>
      <c r="AB110">
        <f t="shared" si="22"/>
        <v>0.93029680368287238</v>
      </c>
    </row>
    <row r="111" spans="14:28" x14ac:dyDescent="0.3">
      <c r="N111" s="2"/>
      <c r="W111">
        <f t="shared" si="21"/>
        <v>1.1430009999999997</v>
      </c>
      <c r="Z111">
        <v>2</v>
      </c>
      <c r="AA111">
        <f t="shared" si="14"/>
        <v>26.684360667573344</v>
      </c>
      <c r="AB111">
        <f t="shared" si="22"/>
        <v>0.9263375056609463</v>
      </c>
    </row>
    <row r="112" spans="14:28" x14ac:dyDescent="0.3">
      <c r="N112" s="2"/>
      <c r="W112">
        <f t="shared" si="21"/>
        <v>1.1430019999999999</v>
      </c>
      <c r="Z112">
        <v>2</v>
      </c>
      <c r="AA112">
        <f t="shared" si="14"/>
        <v>26.684359667573343</v>
      </c>
      <c r="AB112">
        <f t="shared" si="22"/>
        <v>0.92410350289481191</v>
      </c>
    </row>
    <row r="113" spans="14:28" x14ac:dyDescent="0.3">
      <c r="N113" s="2"/>
      <c r="W113">
        <f t="shared" si="21"/>
        <v>1.1430029999999998</v>
      </c>
      <c r="Z113">
        <v>2</v>
      </c>
      <c r="AA113">
        <f t="shared" si="14"/>
        <v>26.684358667573342</v>
      </c>
      <c r="AB113">
        <f t="shared" si="22"/>
        <v>0.92246702056568797</v>
      </c>
    </row>
    <row r="114" spans="14:28" x14ac:dyDescent="0.3">
      <c r="N114" s="2"/>
      <c r="W114">
        <f t="shared" si="21"/>
        <v>1.1430039999999997</v>
      </c>
      <c r="Z114">
        <v>2</v>
      </c>
      <c r="AA114">
        <f t="shared" si="14"/>
        <v>26.684357667573341</v>
      </c>
      <c r="AB114">
        <f t="shared" si="22"/>
        <v>0.92112545075286889</v>
      </c>
    </row>
    <row r="115" spans="14:28" x14ac:dyDescent="0.3">
      <c r="N115" s="2"/>
      <c r="W115">
        <f t="shared" si="21"/>
        <v>1.1430049999999998</v>
      </c>
      <c r="Z115">
        <v>2</v>
      </c>
      <c r="AA115">
        <f t="shared" si="14"/>
        <v>26.684356667573343</v>
      </c>
      <c r="AB115">
        <f t="shared" si="22"/>
        <v>0.91996796940552472</v>
      </c>
    </row>
    <row r="116" spans="14:28" x14ac:dyDescent="0.3">
      <c r="N116" s="2"/>
      <c r="W116">
        <f t="shared" si="21"/>
        <v>1.1430059999999997</v>
      </c>
      <c r="Z116">
        <v>2</v>
      </c>
      <c r="AA116">
        <f t="shared" si="14"/>
        <v>26.684355667573342</v>
      </c>
      <c r="AB116">
        <f t="shared" si="22"/>
        <v>0.91893925200966098</v>
      </c>
    </row>
    <row r="117" spans="14:28" x14ac:dyDescent="0.3">
      <c r="N117" s="2"/>
      <c r="W117">
        <f t="shared" si="21"/>
        <v>1.1430069999999999</v>
      </c>
      <c r="Z117">
        <v>2</v>
      </c>
      <c r="AA117">
        <f t="shared" si="14"/>
        <v>26.684354667573341</v>
      </c>
      <c r="AB117">
        <f t="shared" si="22"/>
        <v>0.91800698533963754</v>
      </c>
    </row>
    <row r="118" spans="14:28" x14ac:dyDescent="0.3">
      <c r="N118" s="2"/>
      <c r="W118">
        <f t="shared" si="21"/>
        <v>1.1430081501326101</v>
      </c>
      <c r="Z118">
        <v>2</v>
      </c>
      <c r="AA118">
        <f t="shared" si="14"/>
        <v>26.684353517440734</v>
      </c>
      <c r="AB118">
        <f t="shared" si="22"/>
        <v>0.91702734816235443</v>
      </c>
    </row>
    <row r="119" spans="14:28" x14ac:dyDescent="0.3">
      <c r="N119" s="2"/>
      <c r="W119">
        <f t="shared" si="21"/>
        <v>1.1430095249244923</v>
      </c>
      <c r="Z119">
        <v>2</v>
      </c>
      <c r="AA119">
        <f t="shared" si="14"/>
        <v>26.684352142648851</v>
      </c>
      <c r="AB119">
        <f t="shared" si="22"/>
        <v>0.9159585801938982</v>
      </c>
    </row>
    <row r="120" spans="14:28" x14ac:dyDescent="0.3">
      <c r="N120" s="2"/>
      <c r="W120">
        <f t="shared" si="21"/>
        <v>1.1430111673040606</v>
      </c>
      <c r="Z120">
        <v>2</v>
      </c>
      <c r="AA120">
        <f t="shared" si="14"/>
        <v>26.684350500269282</v>
      </c>
      <c r="AB120">
        <f t="shared" si="22"/>
        <v>0.91479625559011313</v>
      </c>
    </row>
    <row r="121" spans="14:28" x14ac:dyDescent="0.3">
      <c r="N121" s="2"/>
      <c r="W121">
        <f t="shared" si="21"/>
        <v>1.1430131370239121</v>
      </c>
      <c r="Z121">
        <v>2</v>
      </c>
      <c r="AA121">
        <f t="shared" ref="AA121:AA184" si="23">$AA$55-(Z121-1)*$X$51-W121</f>
        <v>26.684348530549428</v>
      </c>
      <c r="AB121">
        <f t="shared" si="22"/>
        <v>0.91353048339815646</v>
      </c>
    </row>
    <row r="122" spans="14:28" x14ac:dyDescent="0.3">
      <c r="N122" s="2"/>
      <c r="W122">
        <f t="shared" si="21"/>
        <v>1.1430155077632504</v>
      </c>
      <c r="Z122">
        <v>2</v>
      </c>
      <c r="AA122">
        <f t="shared" si="23"/>
        <v>26.68434615981009</v>
      </c>
      <c r="AB122">
        <f t="shared" si="22"/>
        <v>0.91215088532597044</v>
      </c>
    </row>
    <row r="123" spans="14:28" x14ac:dyDescent="0.3">
      <c r="N123" s="2"/>
      <c r="W123">
        <f t="shared" si="21"/>
        <v>1.1430183719688318</v>
      </c>
      <c r="Z123">
        <v>2</v>
      </c>
      <c r="AA123">
        <f t="shared" si="23"/>
        <v>26.68434329560451</v>
      </c>
      <c r="AB123">
        <f t="shared" si="22"/>
        <v>0.91064585001688003</v>
      </c>
    </row>
    <row r="124" spans="14:28" x14ac:dyDescent="0.3">
      <c r="N124" s="2"/>
      <c r="W124">
        <f t="shared" si="21"/>
        <v>1.1430218460191757</v>
      </c>
      <c r="Z124">
        <v>2</v>
      </c>
      <c r="AA124">
        <f t="shared" si="23"/>
        <v>26.684339821554168</v>
      </c>
      <c r="AB124">
        <f t="shared" si="22"/>
        <v>0.90900246739993606</v>
      </c>
    </row>
    <row r="125" spans="14:28" x14ac:dyDescent="0.3">
      <c r="N125" s="2"/>
      <c r="W125">
        <f t="shared" si="21"/>
        <v>1.1430260771680438</v>
      </c>
      <c r="Z125">
        <v>2</v>
      </c>
      <c r="AA125">
        <f t="shared" si="23"/>
        <v>26.684335590405297</v>
      </c>
      <c r="AB125">
        <f t="shared" si="22"/>
        <v>0.90720635607175415</v>
      </c>
    </row>
    <row r="126" spans="14:28" x14ac:dyDescent="0.3">
      <c r="N126" s="2"/>
      <c r="W126">
        <f t="shared" si="21"/>
        <v>1.1430312526971509</v>
      </c>
      <c r="Z126">
        <v>2</v>
      </c>
      <c r="AA126">
        <f t="shared" si="23"/>
        <v>26.684330414876193</v>
      </c>
      <c r="AB126">
        <f t="shared" si="22"/>
        <v>0.90524147856173309</v>
      </c>
    </row>
    <row r="127" spans="14:28" x14ac:dyDescent="0.3">
      <c r="N127" s="2"/>
      <c r="W127">
        <f t="shared" si="21"/>
        <v>1.1430376120900665</v>
      </c>
      <c r="Z127">
        <v>2</v>
      </c>
      <c r="AA127">
        <f t="shared" si="23"/>
        <v>26.684324055483277</v>
      </c>
      <c r="AB127">
        <f t="shared" si="22"/>
        <v>0.90308992791247966</v>
      </c>
    </row>
    <row r="128" spans="14:28" x14ac:dyDescent="0.3">
      <c r="N128" s="2"/>
      <c r="W128">
        <f t="shared" si="21"/>
        <v>1.1430454633263125</v>
      </c>
      <c r="Z128">
        <v>2</v>
      </c>
      <c r="AA128">
        <f t="shared" si="23"/>
        <v>26.684316204247029</v>
      </c>
      <c r="AB128">
        <f t="shared" si="22"/>
        <v>0.90073168239924084</v>
      </c>
    </row>
    <row r="129" spans="14:30" x14ac:dyDescent="0.3">
      <c r="N129" s="2"/>
      <c r="W129">
        <f t="shared" si="21"/>
        <v>1.1430552048418579</v>
      </c>
      <c r="Z129">
        <v>2</v>
      </c>
      <c r="AA129">
        <f t="shared" si="23"/>
        <v>26.684306462731485</v>
      </c>
      <c r="AB129">
        <f t="shared" si="22"/>
        <v>0.89814432232808461</v>
      </c>
    </row>
    <row r="130" spans="14:30" x14ac:dyDescent="0.3">
      <c r="N130" s="2"/>
      <c r="W130">
        <f t="shared" si="21"/>
        <v>1.1430673553416779</v>
      </c>
      <c r="Z130">
        <v>2</v>
      </c>
      <c r="AA130">
        <f t="shared" si="23"/>
        <v>26.684294312231664</v>
      </c>
      <c r="AB130">
        <f t="shared" si="22"/>
        <v>0.89530270197348261</v>
      </c>
    </row>
    <row r="131" spans="14:30" x14ac:dyDescent="0.3">
      <c r="N131" s="2"/>
      <c r="W131">
        <f t="shared" si="21"/>
        <v>1.1430825945820569</v>
      </c>
      <c r="Z131">
        <v>2</v>
      </c>
      <c r="AA131">
        <f t="shared" si="23"/>
        <v>26.684279072991284</v>
      </c>
      <c r="AB131">
        <f t="shared" si="22"/>
        <v>0.89217856822269714</v>
      </c>
    </row>
    <row r="132" spans="14:30" x14ac:dyDescent="0.3">
      <c r="N132" s="2"/>
      <c r="W132">
        <f t="shared" si="21"/>
        <v>1.1431018196091138</v>
      </c>
      <c r="Z132">
        <v>2</v>
      </c>
      <c r="AA132">
        <f t="shared" si="23"/>
        <v>26.684259847964228</v>
      </c>
      <c r="AB132">
        <f t="shared" si="22"/>
        <v>0.88874011591112845</v>
      </c>
    </row>
    <row r="133" spans="14:30" x14ac:dyDescent="0.3">
      <c r="N133" s="2"/>
      <c r="W133">
        <f t="shared" si="21"/>
        <v>1.1431262229715509</v>
      </c>
      <c r="Z133">
        <v>2</v>
      </c>
      <c r="AA133">
        <f t="shared" si="23"/>
        <v>26.684235444601793</v>
      </c>
      <c r="AB133">
        <f t="shared" si="22"/>
        <v>0.88495146788830703</v>
      </c>
    </row>
    <row r="134" spans="14:30" x14ac:dyDescent="0.3">
      <c r="N134" s="2"/>
      <c r="W134">
        <f t="shared" si="21"/>
        <v>1.1431574024708098</v>
      </c>
      <c r="Z134">
        <v>2</v>
      </c>
      <c r="AA134">
        <f t="shared" si="23"/>
        <v>26.684204265102533</v>
      </c>
      <c r="AB134">
        <f t="shared" si="22"/>
        <v>0.88077206574924116</v>
      </c>
    </row>
    <row r="135" spans="14:30" x14ac:dyDescent="0.3">
      <c r="N135" s="2"/>
      <c r="W135">
        <f t="shared" si="21"/>
        <v>1.1431975166274602</v>
      </c>
      <c r="Z135">
        <v>2</v>
      </c>
      <c r="AA135">
        <f t="shared" si="23"/>
        <v>26.684164150945882</v>
      </c>
      <c r="AB135">
        <f t="shared" si="22"/>
        <v>0.87615595477184927</v>
      </c>
    </row>
    <row r="136" spans="14:30" x14ac:dyDescent="0.3">
      <c r="N136" s="2"/>
      <c r="W136">
        <f t="shared" si="21"/>
        <v>1.1432495071180451</v>
      </c>
      <c r="Z136">
        <v>2</v>
      </c>
      <c r="AA136">
        <f t="shared" si="23"/>
        <v>26.684112160455296</v>
      </c>
      <c r="AB136">
        <f t="shared" si="22"/>
        <v>0.87105094411999118</v>
      </c>
    </row>
    <row r="137" spans="14:30" x14ac:dyDescent="0.3">
      <c r="N137" s="2"/>
      <c r="W137">
        <f t="shared" si="21"/>
        <v>1.1433174204155976</v>
      </c>
      <c r="Z137">
        <v>2</v>
      </c>
      <c r="AA137">
        <f t="shared" si="23"/>
        <v>26.684044247157743</v>
      </c>
      <c r="AB137">
        <f t="shared" si="22"/>
        <v>0.86539762083250626</v>
      </c>
    </row>
    <row r="138" spans="14:30" x14ac:dyDescent="0.3">
      <c r="N138" s="2"/>
      <c r="W138">
        <f t="shared" si="21"/>
        <v>1.1434068781193563</v>
      </c>
      <c r="Z138">
        <v>2</v>
      </c>
      <c r="AA138">
        <f t="shared" si="23"/>
        <v>26.683954789453985</v>
      </c>
      <c r="AB138">
        <f t="shared" si="22"/>
        <v>0.8591281939956712</v>
      </c>
      <c r="AC138" s="4"/>
      <c r="AD138" s="4"/>
    </row>
    <row r="139" spans="14:30" x14ac:dyDescent="0.3">
      <c r="N139" s="2"/>
      <c r="W139">
        <f t="shared" si="21"/>
        <v>1.1435257729394583</v>
      </c>
      <c r="Z139">
        <v>2</v>
      </c>
      <c r="AA139">
        <f t="shared" si="23"/>
        <v>26.683835894633884</v>
      </c>
      <c r="AB139">
        <f t="shared" si="22"/>
        <v>0.85216514411116695</v>
      </c>
      <c r="AC139" s="4"/>
      <c r="AD139" s="4"/>
    </row>
    <row r="140" spans="14:30" x14ac:dyDescent="0.3">
      <c r="N140" s="2"/>
      <c r="W140">
        <f t="shared" si="21"/>
        <v>1.1436853116960297</v>
      </c>
      <c r="Z140">
        <v>2</v>
      </c>
      <c r="AA140">
        <f t="shared" si="23"/>
        <v>26.683676355877314</v>
      </c>
      <c r="AB140">
        <f t="shared" si="22"/>
        <v>0.84441965326912749</v>
      </c>
    </row>
    <row r="141" spans="14:30" x14ac:dyDescent="0.3">
      <c r="N141" s="2"/>
      <c r="W141">
        <f t="shared" si="21"/>
        <v>1.143901599497658</v>
      </c>
      <c r="Z141">
        <v>2</v>
      </c>
      <c r="AA141">
        <f t="shared" si="23"/>
        <v>26.683460068075686</v>
      </c>
      <c r="AB141">
        <f t="shared" si="22"/>
        <v>0.8357897958054098</v>
      </c>
    </row>
    <row r="142" spans="14:30" x14ac:dyDescent="0.3">
      <c r="N142" s="2"/>
      <c r="W142">
        <f t="shared" si="21"/>
        <v>1.1441980805681298</v>
      </c>
      <c r="Z142">
        <v>2</v>
      </c>
      <c r="AA142">
        <f t="shared" si="23"/>
        <v>26.683163587005211</v>
      </c>
      <c r="AB142">
        <f t="shared" si="22"/>
        <v>0.82615847988380908</v>
      </c>
    </row>
    <row r="143" spans="14:30" x14ac:dyDescent="0.3">
      <c r="N143" s="2"/>
      <c r="W143">
        <f t="shared" si="21"/>
        <v>1.1446093567063613</v>
      </c>
      <c r="Z143">
        <v>2</v>
      </c>
      <c r="AA143">
        <f t="shared" si="23"/>
        <v>26.682752310866981</v>
      </c>
      <c r="AB143">
        <f t="shared" si="22"/>
        <v>0.8153911530387663</v>
      </c>
    </row>
    <row r="144" spans="14:30" x14ac:dyDescent="0.3">
      <c r="N144" s="2"/>
      <c r="W144">
        <f t="shared" si="21"/>
        <v>1.1451872587163414</v>
      </c>
      <c r="Z144">
        <v>2</v>
      </c>
      <c r="AA144">
        <f t="shared" si="23"/>
        <v>26.682174408857001</v>
      </c>
      <c r="AB144">
        <f t="shared" si="22"/>
        <v>0.80333332837909754</v>
      </c>
    </row>
    <row r="145" spans="14:30" x14ac:dyDescent="0.3">
      <c r="N145" s="2"/>
      <c r="W145">
        <f t="shared" si="21"/>
        <v>1.1460106684293483</v>
      </c>
      <c r="Z145">
        <v>2</v>
      </c>
      <c r="AA145">
        <f t="shared" si="23"/>
        <v>26.681350999143994</v>
      </c>
      <c r="AB145">
        <f t="shared" si="22"/>
        <v>0.78980806865897468</v>
      </c>
    </row>
    <row r="146" spans="14:30" x14ac:dyDescent="0.3">
      <c r="N146" s="2"/>
      <c r="W146">
        <f t="shared" si="21"/>
        <v>1.1472017026793939</v>
      </c>
      <c r="Z146">
        <v>2</v>
      </c>
      <c r="AA146">
        <f t="shared" si="23"/>
        <v>26.680159964893949</v>
      </c>
      <c r="AB146">
        <f t="shared" si="22"/>
        <v>0.77461508690290759</v>
      </c>
    </row>
    <row r="147" spans="14:30" x14ac:dyDescent="0.3">
      <c r="N147" s="2"/>
      <c r="W147">
        <f t="shared" si="21"/>
        <v>1.14862563631224</v>
      </c>
      <c r="Z147">
        <v>2</v>
      </c>
      <c r="AA147">
        <f t="shared" si="23"/>
        <v>26.678736031261103</v>
      </c>
      <c r="AB147">
        <f t="shared" si="22"/>
        <v>0.76038690457725777</v>
      </c>
    </row>
    <row r="148" spans="14:30" x14ac:dyDescent="0.3">
      <c r="N148" s="2"/>
      <c r="W148">
        <f t="shared" si="21"/>
        <v>1.151267421042153</v>
      </c>
      <c r="Z148">
        <v>2</v>
      </c>
      <c r="AA148">
        <f t="shared" si="23"/>
        <v>26.676094246531189</v>
      </c>
      <c r="AB148">
        <f t="shared" si="22"/>
        <v>0.74027333028292353</v>
      </c>
    </row>
    <row r="149" spans="14:30" x14ac:dyDescent="0.3">
      <c r="N149" s="2"/>
      <c r="W149">
        <f t="shared" si="21"/>
        <v>1.1549787815758645</v>
      </c>
      <c r="Z149">
        <v>2</v>
      </c>
      <c r="AA149">
        <f t="shared" si="23"/>
        <v>26.672382885997479</v>
      </c>
      <c r="AB149">
        <f t="shared" si="22"/>
        <v>0.71945185286861368</v>
      </c>
    </row>
    <row r="150" spans="14:30" x14ac:dyDescent="0.3">
      <c r="N150" s="2"/>
      <c r="W150">
        <f t="shared" si="21"/>
        <v>1.1609627321979774</v>
      </c>
      <c r="Z150">
        <v>2</v>
      </c>
      <c r="AA150">
        <f t="shared" si="23"/>
        <v>26.666398935375366</v>
      </c>
      <c r="AB150">
        <f t="shared" si="22"/>
        <v>0.69510299977692602</v>
      </c>
    </row>
    <row r="151" spans="14:30" x14ac:dyDescent="0.3">
      <c r="N151" s="2"/>
      <c r="W151">
        <f t="shared" si="21"/>
        <v>1.1702952871421346</v>
      </c>
      <c r="Z151">
        <v>2</v>
      </c>
      <c r="AA151">
        <f t="shared" si="23"/>
        <v>26.657066380431207</v>
      </c>
      <c r="AB151">
        <f t="shared" si="22"/>
        <v>0.66827742889075359</v>
      </c>
    </row>
    <row r="152" spans="14:30" x14ac:dyDescent="0.3">
      <c r="N152" s="2"/>
      <c r="W152">
        <f t="shared" si="21"/>
        <v>1.1856465819804098</v>
      </c>
      <c r="Z152">
        <v>2</v>
      </c>
      <c r="AA152">
        <f t="shared" si="23"/>
        <v>26.641715085592931</v>
      </c>
      <c r="AB152">
        <f t="shared" si="22"/>
        <v>0.63793671515432082</v>
      </c>
    </row>
    <row r="153" spans="14:30" x14ac:dyDescent="0.3">
      <c r="N153" s="2"/>
      <c r="W153">
        <f t="shared" si="21"/>
        <v>1.211044209731627</v>
      </c>
      <c r="Z153">
        <v>2</v>
      </c>
      <c r="AA153">
        <f t="shared" si="23"/>
        <v>26.616317457841717</v>
      </c>
      <c r="AB153">
        <f t="shared" si="22"/>
        <v>0.60451895949480172</v>
      </c>
    </row>
    <row r="154" spans="14:30" x14ac:dyDescent="0.3">
      <c r="N154" s="2"/>
      <c r="W154">
        <f t="shared" si="21"/>
        <v>1.2547271862495781</v>
      </c>
      <c r="Z154">
        <v>2</v>
      </c>
      <c r="AA154">
        <f t="shared" si="23"/>
        <v>26.572634481323764</v>
      </c>
      <c r="AB154">
        <f t="shared" si="22"/>
        <v>0.56764407327826527</v>
      </c>
    </row>
    <row r="155" spans="14:30" x14ac:dyDescent="0.3">
      <c r="N155" s="2"/>
      <c r="W155">
        <f t="shared" si="21"/>
        <v>1.3307024787234873</v>
      </c>
      <c r="Z155">
        <v>2</v>
      </c>
      <c r="AA155">
        <f t="shared" si="23"/>
        <v>26.496659188849854</v>
      </c>
      <c r="AB155">
        <f t="shared" si="22"/>
        <v>0.52819919103708846</v>
      </c>
      <c r="AC155" t="e">
        <f>#REF!*-1</f>
        <v>#REF!</v>
      </c>
      <c r="AD155" t="e">
        <f>TTBN_Numerator(AB155)</f>
        <v>#VALUE!</v>
      </c>
    </row>
    <row r="156" spans="14:30" x14ac:dyDescent="0.3">
      <c r="N156" s="2"/>
      <c r="W156">
        <f t="shared" si="21"/>
        <v>1.4677546166840529</v>
      </c>
      <c r="Z156">
        <v>2</v>
      </c>
      <c r="AA156">
        <f t="shared" si="23"/>
        <v>26.359607050889288</v>
      </c>
      <c r="AB156">
        <f t="shared" si="22"/>
        <v>0.48656332837244431</v>
      </c>
    </row>
    <row r="157" spans="14:30" x14ac:dyDescent="0.3">
      <c r="N157" s="2"/>
      <c r="W157">
        <f t="shared" si="21"/>
        <v>1.7155867526768451</v>
      </c>
      <c r="Z157">
        <v>2</v>
      </c>
      <c r="AA157">
        <f t="shared" si="23"/>
        <v>26.111774914896497</v>
      </c>
      <c r="AB157">
        <f t="shared" si="22"/>
        <v>0.44490630075061705</v>
      </c>
    </row>
    <row r="158" spans="14:30" x14ac:dyDescent="0.3">
      <c r="N158" s="2"/>
      <c r="W158">
        <f t="shared" si="21"/>
        <v>2.1861296462312865</v>
      </c>
      <c r="Z158">
        <v>2</v>
      </c>
      <c r="AA158">
        <f t="shared" si="23"/>
        <v>25.641232021342056</v>
      </c>
      <c r="AB158">
        <f t="shared" si="22"/>
        <v>0.40422770455153728</v>
      </c>
    </row>
    <row r="159" spans="14:30" x14ac:dyDescent="0.3">
      <c r="N159" s="2"/>
      <c r="W159">
        <f t="shared" si="21"/>
        <v>2.2783011649994576</v>
      </c>
      <c r="Z159">
        <v>2</v>
      </c>
      <c r="AA159">
        <f t="shared" si="23"/>
        <v>25.549060502573884</v>
      </c>
      <c r="AB159">
        <f t="shared" si="22"/>
        <v>0.3988654244970895</v>
      </c>
    </row>
    <row r="160" spans="14:30" x14ac:dyDescent="0.3">
      <c r="N160" s="2"/>
      <c r="W160">
        <f t="shared" si="21"/>
        <v>0</v>
      </c>
      <c r="Z160">
        <v>3</v>
      </c>
      <c r="AA160">
        <f t="shared" si="23"/>
        <v>25.549060502573887</v>
      </c>
      <c r="AB160">
        <f t="shared" si="22"/>
        <v>0.98291280402450532</v>
      </c>
    </row>
    <row r="161" spans="14:28" x14ac:dyDescent="0.3">
      <c r="N161" s="2"/>
      <c r="W161">
        <f t="shared" si="21"/>
        <v>1.1429999999999998</v>
      </c>
      <c r="Z161">
        <v>3</v>
      </c>
      <c r="AA161">
        <f t="shared" si="23"/>
        <v>24.406060502573887</v>
      </c>
      <c r="AB161">
        <f t="shared" si="22"/>
        <v>0.98291280402450532</v>
      </c>
    </row>
    <row r="162" spans="14:28" x14ac:dyDescent="0.3">
      <c r="N162" s="2"/>
      <c r="W162">
        <f t="shared" si="21"/>
        <v>1.1429999999999998</v>
      </c>
      <c r="Z162">
        <v>3</v>
      </c>
      <c r="AA162">
        <f t="shared" si="23"/>
        <v>24.406060502573887</v>
      </c>
      <c r="AB162">
        <f t="shared" si="22"/>
        <v>0.93029680368287238</v>
      </c>
    </row>
    <row r="163" spans="14:28" x14ac:dyDescent="0.3">
      <c r="N163" s="2"/>
      <c r="W163">
        <f t="shared" si="21"/>
        <v>1.1430009999999997</v>
      </c>
      <c r="Z163">
        <v>3</v>
      </c>
      <c r="AA163">
        <f t="shared" si="23"/>
        <v>24.406059502573889</v>
      </c>
      <c r="AB163">
        <f t="shared" si="22"/>
        <v>0.9263375056609463</v>
      </c>
    </row>
    <row r="164" spans="14:28" x14ac:dyDescent="0.3">
      <c r="N164" s="2"/>
      <c r="W164">
        <f t="shared" si="21"/>
        <v>1.1430019999999999</v>
      </c>
      <c r="Z164">
        <v>3</v>
      </c>
      <c r="AA164">
        <f t="shared" si="23"/>
        <v>24.406058502573888</v>
      </c>
      <c r="AB164">
        <f t="shared" si="22"/>
        <v>0.92410350289481191</v>
      </c>
    </row>
    <row r="165" spans="14:28" x14ac:dyDescent="0.3">
      <c r="N165" s="2"/>
      <c r="W165">
        <f t="shared" si="21"/>
        <v>1.1430029999999998</v>
      </c>
      <c r="Z165">
        <v>3</v>
      </c>
      <c r="AA165">
        <f t="shared" si="23"/>
        <v>24.406057502573887</v>
      </c>
      <c r="AB165">
        <f t="shared" si="22"/>
        <v>0.92246702056568797</v>
      </c>
    </row>
    <row r="166" spans="14:28" x14ac:dyDescent="0.3">
      <c r="N166" s="2"/>
      <c r="W166">
        <f t="shared" si="21"/>
        <v>1.1430039999999997</v>
      </c>
      <c r="Z166">
        <v>3</v>
      </c>
      <c r="AA166">
        <f t="shared" si="23"/>
        <v>24.406056502573886</v>
      </c>
      <c r="AB166">
        <f t="shared" si="22"/>
        <v>0.92112545075286889</v>
      </c>
    </row>
    <row r="167" spans="14:28" x14ac:dyDescent="0.3">
      <c r="N167" s="2"/>
      <c r="W167">
        <f t="shared" si="21"/>
        <v>1.1430049999999998</v>
      </c>
      <c r="Z167">
        <v>3</v>
      </c>
      <c r="AA167">
        <f t="shared" si="23"/>
        <v>24.406055502573889</v>
      </c>
      <c r="AB167">
        <f t="shared" si="22"/>
        <v>0.91996796940552472</v>
      </c>
    </row>
    <row r="168" spans="14:28" x14ac:dyDescent="0.3">
      <c r="N168" s="2"/>
      <c r="W168">
        <f t="shared" si="21"/>
        <v>1.1430059999999997</v>
      </c>
      <c r="Z168">
        <v>3</v>
      </c>
      <c r="AA168">
        <f t="shared" si="23"/>
        <v>24.406054502573888</v>
      </c>
      <c r="AB168">
        <f t="shared" si="22"/>
        <v>0.91893925200966098</v>
      </c>
    </row>
    <row r="169" spans="14:28" x14ac:dyDescent="0.3">
      <c r="N169" s="2"/>
      <c r="W169">
        <f t="shared" si="21"/>
        <v>1.1430069999999999</v>
      </c>
      <c r="Z169">
        <v>3</v>
      </c>
      <c r="AA169">
        <f t="shared" si="23"/>
        <v>24.406053502573887</v>
      </c>
      <c r="AB169">
        <f t="shared" si="22"/>
        <v>0.91800698533963754</v>
      </c>
    </row>
    <row r="170" spans="14:28" x14ac:dyDescent="0.3">
      <c r="N170" s="2"/>
      <c r="W170">
        <f t="shared" si="21"/>
        <v>1.1430081501326101</v>
      </c>
      <c r="Z170">
        <v>3</v>
      </c>
      <c r="AA170">
        <f t="shared" si="23"/>
        <v>24.406052352441279</v>
      </c>
      <c r="AB170">
        <f t="shared" si="22"/>
        <v>0.91702734816235443</v>
      </c>
    </row>
    <row r="171" spans="14:28" x14ac:dyDescent="0.3">
      <c r="N171" s="2"/>
      <c r="W171">
        <f t="shared" si="21"/>
        <v>1.1430095249244923</v>
      </c>
      <c r="Z171">
        <v>3</v>
      </c>
      <c r="AA171">
        <f t="shared" si="23"/>
        <v>24.406050977649397</v>
      </c>
      <c r="AB171">
        <f t="shared" si="22"/>
        <v>0.9159585801938982</v>
      </c>
    </row>
    <row r="172" spans="14:28" x14ac:dyDescent="0.3">
      <c r="N172" s="2"/>
      <c r="W172">
        <f t="shared" si="21"/>
        <v>1.1430111673040606</v>
      </c>
      <c r="Z172">
        <v>3</v>
      </c>
      <c r="AA172">
        <f t="shared" si="23"/>
        <v>24.406049335269827</v>
      </c>
      <c r="AB172">
        <f t="shared" si="22"/>
        <v>0.91479625559011313</v>
      </c>
    </row>
    <row r="173" spans="14:28" x14ac:dyDescent="0.3">
      <c r="N173" s="2"/>
      <c r="W173">
        <f t="shared" ref="W173:W236" si="24">W121</f>
        <v>1.1430131370239121</v>
      </c>
      <c r="Z173">
        <v>3</v>
      </c>
      <c r="AA173">
        <f t="shared" si="23"/>
        <v>24.406047365549973</v>
      </c>
      <c r="AB173">
        <f t="shared" ref="AB173:AB236" si="25">AB121</f>
        <v>0.91353048339815646</v>
      </c>
    </row>
    <row r="174" spans="14:28" x14ac:dyDescent="0.3">
      <c r="N174" s="2"/>
      <c r="W174">
        <f t="shared" si="24"/>
        <v>1.1430155077632504</v>
      </c>
      <c r="Z174">
        <v>3</v>
      </c>
      <c r="AA174">
        <f t="shared" si="23"/>
        <v>24.406044994810635</v>
      </c>
      <c r="AB174">
        <f t="shared" si="25"/>
        <v>0.91215088532597044</v>
      </c>
    </row>
    <row r="175" spans="14:28" x14ac:dyDescent="0.3">
      <c r="N175" s="2"/>
      <c r="W175">
        <f t="shared" si="24"/>
        <v>1.1430183719688318</v>
      </c>
      <c r="Z175">
        <v>3</v>
      </c>
      <c r="AA175">
        <f t="shared" si="23"/>
        <v>24.406042130605055</v>
      </c>
      <c r="AB175">
        <f t="shared" si="25"/>
        <v>0.91064585001688003</v>
      </c>
    </row>
    <row r="176" spans="14:28" x14ac:dyDescent="0.3">
      <c r="N176" s="2"/>
      <c r="W176">
        <f t="shared" si="24"/>
        <v>1.1430218460191757</v>
      </c>
      <c r="Z176">
        <v>3</v>
      </c>
      <c r="AA176">
        <f t="shared" si="23"/>
        <v>24.406038656554713</v>
      </c>
      <c r="AB176">
        <f t="shared" si="25"/>
        <v>0.90900246739993606</v>
      </c>
    </row>
    <row r="177" spans="14:28" x14ac:dyDescent="0.3">
      <c r="N177" s="2"/>
      <c r="W177">
        <f t="shared" si="24"/>
        <v>1.1430260771680438</v>
      </c>
      <c r="Z177">
        <v>3</v>
      </c>
      <c r="AA177">
        <f t="shared" si="23"/>
        <v>24.406034425405842</v>
      </c>
      <c r="AB177">
        <f t="shared" si="25"/>
        <v>0.90720635607175415</v>
      </c>
    </row>
    <row r="178" spans="14:28" x14ac:dyDescent="0.3">
      <c r="N178" s="2"/>
      <c r="W178">
        <f t="shared" si="24"/>
        <v>1.1430312526971509</v>
      </c>
      <c r="Z178">
        <v>3</v>
      </c>
      <c r="AA178">
        <f t="shared" si="23"/>
        <v>24.406029249876738</v>
      </c>
      <c r="AB178">
        <f t="shared" si="25"/>
        <v>0.90524147856173309</v>
      </c>
    </row>
    <row r="179" spans="14:28" x14ac:dyDescent="0.3">
      <c r="N179" s="2"/>
      <c r="W179">
        <f t="shared" si="24"/>
        <v>1.1430376120900665</v>
      </c>
      <c r="Z179">
        <v>3</v>
      </c>
      <c r="AA179">
        <f t="shared" si="23"/>
        <v>24.406022890483822</v>
      </c>
      <c r="AB179">
        <f t="shared" si="25"/>
        <v>0.90308992791247966</v>
      </c>
    </row>
    <row r="180" spans="14:28" x14ac:dyDescent="0.3">
      <c r="N180" s="2"/>
      <c r="W180">
        <f t="shared" si="24"/>
        <v>1.1430454633263125</v>
      </c>
      <c r="Z180">
        <v>3</v>
      </c>
      <c r="AA180">
        <f t="shared" si="23"/>
        <v>24.406015039247574</v>
      </c>
      <c r="AB180">
        <f t="shared" si="25"/>
        <v>0.90073168239924084</v>
      </c>
    </row>
    <row r="181" spans="14:28" x14ac:dyDescent="0.3">
      <c r="N181" s="2"/>
      <c r="W181">
        <f t="shared" si="24"/>
        <v>1.1430552048418579</v>
      </c>
      <c r="Z181">
        <v>3</v>
      </c>
      <c r="AA181">
        <f t="shared" si="23"/>
        <v>24.40600529773203</v>
      </c>
      <c r="AB181">
        <f t="shared" si="25"/>
        <v>0.89814432232808461</v>
      </c>
    </row>
    <row r="182" spans="14:28" x14ac:dyDescent="0.3">
      <c r="N182" s="2"/>
      <c r="W182">
        <f t="shared" si="24"/>
        <v>1.1430673553416779</v>
      </c>
      <c r="Z182">
        <v>3</v>
      </c>
      <c r="AA182">
        <f t="shared" si="23"/>
        <v>24.405993147232209</v>
      </c>
      <c r="AB182">
        <f t="shared" si="25"/>
        <v>0.89530270197348261</v>
      </c>
    </row>
    <row r="183" spans="14:28" x14ac:dyDescent="0.3">
      <c r="N183" s="2"/>
      <c r="W183">
        <f t="shared" si="24"/>
        <v>1.1430825945820569</v>
      </c>
      <c r="Z183">
        <v>3</v>
      </c>
      <c r="AA183">
        <f t="shared" si="23"/>
        <v>24.405977907991829</v>
      </c>
      <c r="AB183">
        <f t="shared" si="25"/>
        <v>0.89217856822269714</v>
      </c>
    </row>
    <row r="184" spans="14:28" x14ac:dyDescent="0.3">
      <c r="N184" s="2"/>
      <c r="W184">
        <f t="shared" si="24"/>
        <v>1.1431018196091138</v>
      </c>
      <c r="Z184">
        <v>3</v>
      </c>
      <c r="AA184">
        <f t="shared" si="23"/>
        <v>24.405958682964773</v>
      </c>
      <c r="AB184">
        <f t="shared" si="25"/>
        <v>0.88874011591112845</v>
      </c>
    </row>
    <row r="185" spans="14:28" x14ac:dyDescent="0.3">
      <c r="N185" s="2"/>
      <c r="W185">
        <f t="shared" si="24"/>
        <v>1.1431262229715509</v>
      </c>
      <c r="Z185">
        <v>3</v>
      </c>
      <c r="AA185">
        <f t="shared" ref="AA185:AA248" si="26">$AA$55-(Z185-1)*$X$51-W185</f>
        <v>24.405934279602338</v>
      </c>
      <c r="AB185">
        <f t="shared" si="25"/>
        <v>0.88495146788830703</v>
      </c>
    </row>
    <row r="186" spans="14:28" x14ac:dyDescent="0.3">
      <c r="N186" s="2"/>
      <c r="W186">
        <f t="shared" si="24"/>
        <v>1.1431574024708098</v>
      </c>
      <c r="Z186">
        <v>3</v>
      </c>
      <c r="AA186">
        <f t="shared" si="26"/>
        <v>24.405903100103078</v>
      </c>
      <c r="AB186">
        <f t="shared" si="25"/>
        <v>0.88077206574924116</v>
      </c>
    </row>
    <row r="187" spans="14:28" x14ac:dyDescent="0.3">
      <c r="N187" s="2"/>
      <c r="W187">
        <f t="shared" si="24"/>
        <v>1.1431975166274602</v>
      </c>
      <c r="Z187">
        <v>3</v>
      </c>
      <c r="AA187">
        <f t="shared" si="26"/>
        <v>24.405862985946428</v>
      </c>
      <c r="AB187">
        <f t="shared" si="25"/>
        <v>0.87615595477184927</v>
      </c>
    </row>
    <row r="188" spans="14:28" x14ac:dyDescent="0.3">
      <c r="N188" s="2"/>
      <c r="W188">
        <f t="shared" si="24"/>
        <v>1.1432495071180451</v>
      </c>
      <c r="Z188">
        <v>3</v>
      </c>
      <c r="AA188">
        <f t="shared" si="26"/>
        <v>24.405810995455841</v>
      </c>
      <c r="AB188">
        <f t="shared" si="25"/>
        <v>0.87105094411999118</v>
      </c>
    </row>
    <row r="189" spans="14:28" x14ac:dyDescent="0.3">
      <c r="N189" s="2"/>
      <c r="W189">
        <f t="shared" si="24"/>
        <v>1.1433174204155976</v>
      </c>
      <c r="Z189">
        <v>3</v>
      </c>
      <c r="AA189">
        <f t="shared" si="26"/>
        <v>24.405743082158288</v>
      </c>
      <c r="AB189">
        <f t="shared" si="25"/>
        <v>0.86539762083250626</v>
      </c>
    </row>
    <row r="190" spans="14:28" x14ac:dyDescent="0.3">
      <c r="N190" s="2"/>
      <c r="W190">
        <f t="shared" si="24"/>
        <v>1.1434068781193563</v>
      </c>
      <c r="Z190">
        <v>3</v>
      </c>
      <c r="AA190">
        <f t="shared" si="26"/>
        <v>24.40565362445453</v>
      </c>
      <c r="AB190">
        <f t="shared" si="25"/>
        <v>0.8591281939956712</v>
      </c>
    </row>
    <row r="191" spans="14:28" x14ac:dyDescent="0.3">
      <c r="N191" s="2"/>
      <c r="W191">
        <f t="shared" si="24"/>
        <v>1.1435257729394583</v>
      </c>
      <c r="Z191">
        <v>3</v>
      </c>
      <c r="AA191">
        <f t="shared" si="26"/>
        <v>24.405534729634429</v>
      </c>
      <c r="AB191">
        <f t="shared" si="25"/>
        <v>0.85216514411116695</v>
      </c>
    </row>
    <row r="192" spans="14:28" x14ac:dyDescent="0.3">
      <c r="N192" s="2"/>
      <c r="W192">
        <f t="shared" si="24"/>
        <v>1.1436853116960297</v>
      </c>
      <c r="Z192">
        <v>3</v>
      </c>
      <c r="AA192">
        <f t="shared" si="26"/>
        <v>24.405375190877859</v>
      </c>
      <c r="AB192">
        <f t="shared" si="25"/>
        <v>0.84441965326912749</v>
      </c>
    </row>
    <row r="193" spans="14:28" x14ac:dyDescent="0.3">
      <c r="N193" s="2"/>
      <c r="W193">
        <f t="shared" si="24"/>
        <v>1.143901599497658</v>
      </c>
      <c r="Z193">
        <v>3</v>
      </c>
      <c r="AA193">
        <f t="shared" si="26"/>
        <v>24.405158903076231</v>
      </c>
      <c r="AB193">
        <f t="shared" si="25"/>
        <v>0.8357897958054098</v>
      </c>
    </row>
    <row r="194" spans="14:28" x14ac:dyDescent="0.3">
      <c r="N194" s="2"/>
      <c r="W194">
        <f t="shared" si="24"/>
        <v>1.1441980805681298</v>
      </c>
      <c r="Z194">
        <v>3</v>
      </c>
      <c r="AA194">
        <f t="shared" si="26"/>
        <v>24.404862422005756</v>
      </c>
      <c r="AB194">
        <f t="shared" si="25"/>
        <v>0.82615847988380908</v>
      </c>
    </row>
    <row r="195" spans="14:28" x14ac:dyDescent="0.3">
      <c r="N195" s="2"/>
      <c r="W195">
        <f t="shared" si="24"/>
        <v>1.1446093567063613</v>
      </c>
      <c r="Z195">
        <v>3</v>
      </c>
      <c r="AA195">
        <f t="shared" si="26"/>
        <v>24.404451145867526</v>
      </c>
      <c r="AB195">
        <f t="shared" si="25"/>
        <v>0.8153911530387663</v>
      </c>
    </row>
    <row r="196" spans="14:28" x14ac:dyDescent="0.3">
      <c r="N196" s="2"/>
      <c r="W196">
        <f t="shared" si="24"/>
        <v>1.1451872587163414</v>
      </c>
      <c r="Z196">
        <v>3</v>
      </c>
      <c r="AA196">
        <f t="shared" si="26"/>
        <v>24.403873243857547</v>
      </c>
      <c r="AB196">
        <f t="shared" si="25"/>
        <v>0.80333332837909754</v>
      </c>
    </row>
    <row r="197" spans="14:28" x14ac:dyDescent="0.3">
      <c r="N197" s="2"/>
      <c r="W197">
        <f t="shared" si="24"/>
        <v>1.1460106684293483</v>
      </c>
      <c r="Z197">
        <v>3</v>
      </c>
      <c r="AA197">
        <f t="shared" si="26"/>
        <v>24.403049834144539</v>
      </c>
      <c r="AB197">
        <f t="shared" si="25"/>
        <v>0.78980806865897468</v>
      </c>
    </row>
    <row r="198" spans="14:28" x14ac:dyDescent="0.3">
      <c r="N198" s="2"/>
      <c r="W198">
        <f t="shared" si="24"/>
        <v>1.1472017026793939</v>
      </c>
      <c r="Z198">
        <v>3</v>
      </c>
      <c r="AA198">
        <f t="shared" si="26"/>
        <v>24.401858799894494</v>
      </c>
      <c r="AB198">
        <f t="shared" si="25"/>
        <v>0.77461508690290759</v>
      </c>
    </row>
    <row r="199" spans="14:28" x14ac:dyDescent="0.3">
      <c r="N199" s="2"/>
      <c r="W199">
        <f t="shared" si="24"/>
        <v>1.14862563631224</v>
      </c>
      <c r="Z199">
        <v>3</v>
      </c>
      <c r="AA199">
        <f t="shared" si="26"/>
        <v>24.400434866261648</v>
      </c>
      <c r="AB199">
        <f t="shared" si="25"/>
        <v>0.76038690457725777</v>
      </c>
    </row>
    <row r="200" spans="14:28" x14ac:dyDescent="0.3">
      <c r="N200" s="2"/>
      <c r="W200">
        <f t="shared" si="24"/>
        <v>1.151267421042153</v>
      </c>
      <c r="Z200">
        <v>3</v>
      </c>
      <c r="AA200">
        <f t="shared" si="26"/>
        <v>24.397793081531734</v>
      </c>
      <c r="AB200">
        <f t="shared" si="25"/>
        <v>0.74027333028292353</v>
      </c>
    </row>
    <row r="201" spans="14:28" x14ac:dyDescent="0.3">
      <c r="N201" s="2"/>
      <c r="W201">
        <f t="shared" si="24"/>
        <v>1.1549787815758645</v>
      </c>
      <c r="Z201">
        <v>3</v>
      </c>
      <c r="AA201">
        <f t="shared" si="26"/>
        <v>24.394081720998024</v>
      </c>
      <c r="AB201">
        <f t="shared" si="25"/>
        <v>0.71945185286861368</v>
      </c>
    </row>
    <row r="202" spans="14:28" x14ac:dyDescent="0.3">
      <c r="N202" s="2"/>
      <c r="W202">
        <f t="shared" si="24"/>
        <v>1.1609627321979774</v>
      </c>
      <c r="Z202">
        <v>3</v>
      </c>
      <c r="AA202">
        <f t="shared" si="26"/>
        <v>24.388097770375911</v>
      </c>
      <c r="AB202">
        <f t="shared" si="25"/>
        <v>0.69510299977692602</v>
      </c>
    </row>
    <row r="203" spans="14:28" x14ac:dyDescent="0.3">
      <c r="N203" s="2"/>
      <c r="W203">
        <f t="shared" si="24"/>
        <v>1.1702952871421346</v>
      </c>
      <c r="Z203">
        <v>3</v>
      </c>
      <c r="AA203">
        <f t="shared" si="26"/>
        <v>24.378765215431752</v>
      </c>
      <c r="AB203">
        <f t="shared" si="25"/>
        <v>0.66827742889075359</v>
      </c>
    </row>
    <row r="204" spans="14:28" x14ac:dyDescent="0.3">
      <c r="N204" s="2"/>
      <c r="W204">
        <f t="shared" si="24"/>
        <v>1.1856465819804098</v>
      </c>
      <c r="Z204">
        <v>3</v>
      </c>
      <c r="AA204">
        <f t="shared" si="26"/>
        <v>24.363413920593477</v>
      </c>
      <c r="AB204">
        <f t="shared" si="25"/>
        <v>0.63793671515432082</v>
      </c>
    </row>
    <row r="205" spans="14:28" x14ac:dyDescent="0.3">
      <c r="N205" s="2"/>
      <c r="W205">
        <f t="shared" si="24"/>
        <v>1.211044209731627</v>
      </c>
      <c r="Z205">
        <v>3</v>
      </c>
      <c r="AA205">
        <f t="shared" si="26"/>
        <v>24.338016292842262</v>
      </c>
      <c r="AB205">
        <f t="shared" si="25"/>
        <v>0.60451895949480172</v>
      </c>
    </row>
    <row r="206" spans="14:28" x14ac:dyDescent="0.3">
      <c r="N206" s="2"/>
      <c r="W206">
        <f t="shared" si="24"/>
        <v>1.2547271862495781</v>
      </c>
      <c r="Z206">
        <v>3</v>
      </c>
      <c r="AA206">
        <f t="shared" si="26"/>
        <v>24.294333316324309</v>
      </c>
      <c r="AB206">
        <f t="shared" si="25"/>
        <v>0.56764407327826527</v>
      </c>
    </row>
    <row r="207" spans="14:28" x14ac:dyDescent="0.3">
      <c r="N207" s="2"/>
      <c r="W207">
        <f t="shared" si="24"/>
        <v>1.3307024787234873</v>
      </c>
      <c r="Z207">
        <v>3</v>
      </c>
      <c r="AA207">
        <f t="shared" si="26"/>
        <v>24.218358023850399</v>
      </c>
      <c r="AB207">
        <f t="shared" si="25"/>
        <v>0.52819919103708846</v>
      </c>
    </row>
    <row r="208" spans="14:28" x14ac:dyDescent="0.3">
      <c r="N208" s="2"/>
      <c r="W208">
        <f t="shared" si="24"/>
        <v>1.4677546166840529</v>
      </c>
      <c r="Z208">
        <v>3</v>
      </c>
      <c r="AA208">
        <f t="shared" si="26"/>
        <v>24.081305885889833</v>
      </c>
      <c r="AB208">
        <f t="shared" si="25"/>
        <v>0.48656332837244431</v>
      </c>
    </row>
    <row r="209" spans="14:28" x14ac:dyDescent="0.3">
      <c r="N209" s="2"/>
      <c r="W209">
        <f t="shared" si="24"/>
        <v>1.7155867526768451</v>
      </c>
      <c r="Z209">
        <v>3</v>
      </c>
      <c r="AA209">
        <f t="shared" si="26"/>
        <v>23.833473749897042</v>
      </c>
      <c r="AB209">
        <f t="shared" si="25"/>
        <v>0.44490630075061705</v>
      </c>
    </row>
    <row r="210" spans="14:28" x14ac:dyDescent="0.3">
      <c r="N210" s="2"/>
      <c r="W210">
        <f t="shared" si="24"/>
        <v>2.1861296462312865</v>
      </c>
      <c r="Z210">
        <v>3</v>
      </c>
      <c r="AA210">
        <f t="shared" si="26"/>
        <v>23.362930856342601</v>
      </c>
      <c r="AB210">
        <f t="shared" si="25"/>
        <v>0.40422770455153728</v>
      </c>
    </row>
    <row r="211" spans="14:28" x14ac:dyDescent="0.3">
      <c r="N211" s="2"/>
      <c r="W211">
        <f t="shared" si="24"/>
        <v>2.2783011649994576</v>
      </c>
      <c r="Z211">
        <v>3</v>
      </c>
      <c r="AA211">
        <f t="shared" si="26"/>
        <v>23.270759337574429</v>
      </c>
      <c r="AB211">
        <f t="shared" si="25"/>
        <v>0.3988654244970895</v>
      </c>
    </row>
    <row r="212" spans="14:28" x14ac:dyDescent="0.3">
      <c r="N212" s="2"/>
      <c r="W212">
        <f t="shared" si="24"/>
        <v>0</v>
      </c>
      <c r="Z212">
        <v>4</v>
      </c>
      <c r="AA212">
        <f t="shared" si="26"/>
        <v>23.270759337574429</v>
      </c>
      <c r="AB212">
        <f t="shared" si="25"/>
        <v>0.98291280402450532</v>
      </c>
    </row>
    <row r="213" spans="14:28" x14ac:dyDescent="0.3">
      <c r="N213" s="2"/>
      <c r="W213">
        <f t="shared" si="24"/>
        <v>1.1429999999999998</v>
      </c>
      <c r="Z213">
        <v>4</v>
      </c>
      <c r="AA213">
        <f t="shared" si="26"/>
        <v>22.127759337574428</v>
      </c>
      <c r="AB213">
        <f t="shared" si="25"/>
        <v>0.98291280402450532</v>
      </c>
    </row>
    <row r="214" spans="14:28" x14ac:dyDescent="0.3">
      <c r="N214" s="2"/>
      <c r="W214">
        <f t="shared" si="24"/>
        <v>1.1429999999999998</v>
      </c>
      <c r="Z214">
        <v>4</v>
      </c>
      <c r="AA214">
        <f t="shared" si="26"/>
        <v>22.127759337574428</v>
      </c>
      <c r="AB214">
        <f t="shared" si="25"/>
        <v>0.93029680368287238</v>
      </c>
    </row>
    <row r="215" spans="14:28" x14ac:dyDescent="0.3">
      <c r="N215" s="2"/>
      <c r="W215">
        <f t="shared" si="24"/>
        <v>1.1430009999999997</v>
      </c>
      <c r="Z215">
        <v>4</v>
      </c>
      <c r="AA215">
        <f t="shared" si="26"/>
        <v>22.127758337574431</v>
      </c>
      <c r="AB215">
        <f t="shared" si="25"/>
        <v>0.9263375056609463</v>
      </c>
    </row>
    <row r="216" spans="14:28" x14ac:dyDescent="0.3">
      <c r="N216" s="2"/>
      <c r="W216">
        <f t="shared" si="24"/>
        <v>1.1430019999999999</v>
      </c>
      <c r="Z216">
        <v>4</v>
      </c>
      <c r="AA216">
        <f t="shared" si="26"/>
        <v>22.12775733757443</v>
      </c>
      <c r="AB216">
        <f t="shared" si="25"/>
        <v>0.92410350289481191</v>
      </c>
    </row>
    <row r="217" spans="14:28" x14ac:dyDescent="0.3">
      <c r="N217" s="2"/>
      <c r="W217">
        <f t="shared" si="24"/>
        <v>1.1430029999999998</v>
      </c>
      <c r="Z217">
        <v>4</v>
      </c>
      <c r="AA217">
        <f t="shared" si="26"/>
        <v>22.127756337574429</v>
      </c>
      <c r="AB217">
        <f t="shared" si="25"/>
        <v>0.92246702056568797</v>
      </c>
    </row>
    <row r="218" spans="14:28" x14ac:dyDescent="0.3">
      <c r="N218" s="2"/>
      <c r="W218">
        <f t="shared" si="24"/>
        <v>1.1430039999999997</v>
      </c>
      <c r="Z218">
        <v>4</v>
      </c>
      <c r="AA218">
        <f t="shared" si="26"/>
        <v>22.127755337574428</v>
      </c>
      <c r="AB218">
        <f t="shared" si="25"/>
        <v>0.92112545075286889</v>
      </c>
    </row>
    <row r="219" spans="14:28" x14ac:dyDescent="0.3">
      <c r="N219" s="2"/>
      <c r="W219">
        <f t="shared" si="24"/>
        <v>1.1430049999999998</v>
      </c>
      <c r="Z219">
        <v>4</v>
      </c>
      <c r="AA219">
        <f t="shared" si="26"/>
        <v>22.12775433757443</v>
      </c>
      <c r="AB219">
        <f t="shared" si="25"/>
        <v>0.91996796940552472</v>
      </c>
    </row>
    <row r="220" spans="14:28" x14ac:dyDescent="0.3">
      <c r="N220" s="2"/>
      <c r="W220">
        <f t="shared" si="24"/>
        <v>1.1430059999999997</v>
      </c>
      <c r="Z220">
        <v>4</v>
      </c>
      <c r="AA220">
        <f t="shared" si="26"/>
        <v>22.127753337574429</v>
      </c>
      <c r="AB220">
        <f t="shared" si="25"/>
        <v>0.91893925200966098</v>
      </c>
    </row>
    <row r="221" spans="14:28" x14ac:dyDescent="0.3">
      <c r="N221" s="2"/>
      <c r="W221">
        <f t="shared" si="24"/>
        <v>1.1430069999999999</v>
      </c>
      <c r="Z221">
        <v>4</v>
      </c>
      <c r="AA221">
        <f t="shared" si="26"/>
        <v>22.127752337574428</v>
      </c>
      <c r="AB221">
        <f t="shared" si="25"/>
        <v>0.91800698533963754</v>
      </c>
    </row>
    <row r="222" spans="14:28" x14ac:dyDescent="0.3">
      <c r="N222" s="2"/>
      <c r="W222">
        <f t="shared" si="24"/>
        <v>1.1430081501326101</v>
      </c>
      <c r="Z222">
        <v>4</v>
      </c>
      <c r="AA222">
        <f t="shared" si="26"/>
        <v>22.12775118744182</v>
      </c>
      <c r="AB222">
        <f t="shared" si="25"/>
        <v>0.91702734816235443</v>
      </c>
    </row>
    <row r="223" spans="14:28" x14ac:dyDescent="0.3">
      <c r="N223" s="2"/>
      <c r="W223">
        <f t="shared" si="24"/>
        <v>1.1430095249244923</v>
      </c>
      <c r="Z223">
        <v>4</v>
      </c>
      <c r="AA223">
        <f t="shared" si="26"/>
        <v>22.127749812649938</v>
      </c>
      <c r="AB223">
        <f t="shared" si="25"/>
        <v>0.9159585801938982</v>
      </c>
    </row>
    <row r="224" spans="14:28" x14ac:dyDescent="0.3">
      <c r="N224" s="2"/>
      <c r="W224">
        <f t="shared" si="24"/>
        <v>1.1430111673040606</v>
      </c>
      <c r="Z224">
        <v>4</v>
      </c>
      <c r="AA224">
        <f t="shared" si="26"/>
        <v>22.127748170270369</v>
      </c>
      <c r="AB224">
        <f t="shared" si="25"/>
        <v>0.91479625559011313</v>
      </c>
    </row>
    <row r="225" spans="14:28" x14ac:dyDescent="0.3">
      <c r="N225" s="2"/>
      <c r="W225">
        <f t="shared" si="24"/>
        <v>1.1430131370239121</v>
      </c>
      <c r="Z225">
        <v>4</v>
      </c>
      <c r="AA225">
        <f t="shared" si="26"/>
        <v>22.127746200550519</v>
      </c>
      <c r="AB225">
        <f t="shared" si="25"/>
        <v>0.91353048339815646</v>
      </c>
    </row>
    <row r="226" spans="14:28" x14ac:dyDescent="0.3">
      <c r="N226" s="2"/>
      <c r="W226">
        <f t="shared" si="24"/>
        <v>1.1430155077632504</v>
      </c>
      <c r="Z226">
        <v>4</v>
      </c>
      <c r="AA226">
        <f t="shared" si="26"/>
        <v>22.127743829811177</v>
      </c>
      <c r="AB226">
        <f t="shared" si="25"/>
        <v>0.91215088532597044</v>
      </c>
    </row>
    <row r="227" spans="14:28" x14ac:dyDescent="0.3">
      <c r="N227" s="2"/>
      <c r="W227">
        <f t="shared" si="24"/>
        <v>1.1430183719688318</v>
      </c>
      <c r="Z227">
        <v>4</v>
      </c>
      <c r="AA227">
        <f t="shared" si="26"/>
        <v>22.127740965605597</v>
      </c>
      <c r="AB227">
        <f t="shared" si="25"/>
        <v>0.91064585001688003</v>
      </c>
    </row>
    <row r="228" spans="14:28" x14ac:dyDescent="0.3">
      <c r="N228" s="2"/>
      <c r="W228">
        <f t="shared" si="24"/>
        <v>1.1430218460191757</v>
      </c>
      <c r="Z228">
        <v>4</v>
      </c>
      <c r="AA228">
        <f t="shared" si="26"/>
        <v>22.127737491555251</v>
      </c>
      <c r="AB228">
        <f t="shared" si="25"/>
        <v>0.90900246739993606</v>
      </c>
    </row>
    <row r="229" spans="14:28" x14ac:dyDescent="0.3">
      <c r="W229">
        <f t="shared" si="24"/>
        <v>1.1430260771680438</v>
      </c>
      <c r="Z229">
        <v>4</v>
      </c>
      <c r="AA229">
        <f t="shared" si="26"/>
        <v>22.127733260406384</v>
      </c>
      <c r="AB229">
        <f t="shared" si="25"/>
        <v>0.90720635607175415</v>
      </c>
    </row>
    <row r="230" spans="14:28" x14ac:dyDescent="0.3">
      <c r="W230">
        <f t="shared" si="24"/>
        <v>1.1430312526971509</v>
      </c>
      <c r="Z230">
        <v>4</v>
      </c>
      <c r="AA230">
        <f t="shared" si="26"/>
        <v>22.127728084877276</v>
      </c>
      <c r="AB230">
        <f t="shared" si="25"/>
        <v>0.90524147856173309</v>
      </c>
    </row>
    <row r="231" spans="14:28" x14ac:dyDescent="0.3">
      <c r="W231">
        <f t="shared" si="24"/>
        <v>1.1430376120900665</v>
      </c>
      <c r="Z231">
        <v>4</v>
      </c>
      <c r="AA231">
        <f t="shared" si="26"/>
        <v>22.127721725484363</v>
      </c>
      <c r="AB231">
        <f t="shared" si="25"/>
        <v>0.90308992791247966</v>
      </c>
    </row>
    <row r="232" spans="14:28" x14ac:dyDescent="0.3">
      <c r="W232">
        <f t="shared" si="24"/>
        <v>1.1430454633263125</v>
      </c>
      <c r="Z232">
        <v>4</v>
      </c>
      <c r="AA232">
        <f t="shared" si="26"/>
        <v>22.127713874248116</v>
      </c>
      <c r="AB232">
        <f t="shared" si="25"/>
        <v>0.90073168239924084</v>
      </c>
    </row>
    <row r="233" spans="14:28" x14ac:dyDescent="0.3">
      <c r="W233">
        <f t="shared" si="24"/>
        <v>1.1430552048418579</v>
      </c>
      <c r="Z233">
        <v>4</v>
      </c>
      <c r="AA233">
        <f t="shared" si="26"/>
        <v>22.127704132732571</v>
      </c>
      <c r="AB233">
        <f t="shared" si="25"/>
        <v>0.89814432232808461</v>
      </c>
    </row>
    <row r="234" spans="14:28" x14ac:dyDescent="0.3">
      <c r="W234">
        <f t="shared" si="24"/>
        <v>1.1430673553416779</v>
      </c>
      <c r="Z234">
        <v>4</v>
      </c>
      <c r="AA234">
        <f t="shared" si="26"/>
        <v>22.127691982232751</v>
      </c>
      <c r="AB234">
        <f t="shared" si="25"/>
        <v>0.89530270197348261</v>
      </c>
    </row>
    <row r="235" spans="14:28" x14ac:dyDescent="0.3">
      <c r="W235">
        <f t="shared" si="24"/>
        <v>1.1430825945820569</v>
      </c>
      <c r="Z235">
        <v>4</v>
      </c>
      <c r="AA235">
        <f t="shared" si="26"/>
        <v>22.127676742992371</v>
      </c>
      <c r="AB235">
        <f t="shared" si="25"/>
        <v>0.89217856822269714</v>
      </c>
    </row>
    <row r="236" spans="14:28" x14ac:dyDescent="0.3">
      <c r="W236">
        <f t="shared" si="24"/>
        <v>1.1431018196091138</v>
      </c>
      <c r="Z236">
        <v>4</v>
      </c>
      <c r="AA236">
        <f t="shared" si="26"/>
        <v>22.127657517965314</v>
      </c>
      <c r="AB236">
        <f t="shared" si="25"/>
        <v>0.88874011591112845</v>
      </c>
    </row>
    <row r="237" spans="14:28" x14ac:dyDescent="0.3">
      <c r="W237">
        <f t="shared" ref="W237:W300" si="27">W185</f>
        <v>1.1431262229715509</v>
      </c>
      <c r="Z237">
        <v>4</v>
      </c>
      <c r="AA237">
        <f t="shared" si="26"/>
        <v>22.12763311460288</v>
      </c>
      <c r="AB237">
        <f t="shared" ref="AB237:AB300" si="28">AB185</f>
        <v>0.88495146788830703</v>
      </c>
    </row>
    <row r="238" spans="14:28" x14ac:dyDescent="0.3">
      <c r="W238">
        <f t="shared" si="27"/>
        <v>1.1431574024708098</v>
      </c>
      <c r="Z238">
        <v>4</v>
      </c>
      <c r="AA238">
        <f t="shared" si="26"/>
        <v>22.12760193510362</v>
      </c>
      <c r="AB238">
        <f t="shared" si="28"/>
        <v>0.88077206574924116</v>
      </c>
    </row>
    <row r="239" spans="14:28" x14ac:dyDescent="0.3">
      <c r="W239">
        <f t="shared" si="27"/>
        <v>1.1431975166274602</v>
      </c>
      <c r="Z239">
        <v>4</v>
      </c>
      <c r="AA239">
        <f t="shared" si="26"/>
        <v>22.127561820946969</v>
      </c>
      <c r="AB239">
        <f t="shared" si="28"/>
        <v>0.87615595477184927</v>
      </c>
    </row>
    <row r="240" spans="14:28" x14ac:dyDescent="0.3">
      <c r="W240">
        <f t="shared" si="27"/>
        <v>1.1432495071180451</v>
      </c>
      <c r="Z240">
        <v>4</v>
      </c>
      <c r="AA240">
        <f t="shared" si="26"/>
        <v>22.127509830456383</v>
      </c>
      <c r="AB240">
        <f t="shared" si="28"/>
        <v>0.87105094411999118</v>
      </c>
    </row>
    <row r="241" spans="23:28" x14ac:dyDescent="0.3">
      <c r="W241">
        <f t="shared" si="27"/>
        <v>1.1433174204155976</v>
      </c>
      <c r="Z241">
        <v>4</v>
      </c>
      <c r="AA241">
        <f t="shared" si="26"/>
        <v>22.12744191715883</v>
      </c>
      <c r="AB241">
        <f t="shared" si="28"/>
        <v>0.86539762083250626</v>
      </c>
    </row>
    <row r="242" spans="23:28" x14ac:dyDescent="0.3">
      <c r="W242">
        <f t="shared" si="27"/>
        <v>1.1434068781193563</v>
      </c>
      <c r="Z242">
        <v>4</v>
      </c>
      <c r="AA242">
        <f t="shared" si="26"/>
        <v>22.127352459455071</v>
      </c>
      <c r="AB242">
        <f t="shared" si="28"/>
        <v>0.8591281939956712</v>
      </c>
    </row>
    <row r="243" spans="23:28" x14ac:dyDescent="0.3">
      <c r="W243">
        <f t="shared" si="27"/>
        <v>1.1435257729394583</v>
      </c>
      <c r="Z243">
        <v>4</v>
      </c>
      <c r="AA243">
        <f t="shared" si="26"/>
        <v>22.12723356463497</v>
      </c>
      <c r="AB243">
        <f t="shared" si="28"/>
        <v>0.85216514411116695</v>
      </c>
    </row>
    <row r="244" spans="23:28" x14ac:dyDescent="0.3">
      <c r="W244">
        <f t="shared" si="27"/>
        <v>1.1436853116960297</v>
      </c>
      <c r="Z244">
        <v>4</v>
      </c>
      <c r="AA244">
        <f t="shared" si="26"/>
        <v>22.1270740258784</v>
      </c>
      <c r="AB244">
        <f t="shared" si="28"/>
        <v>0.84441965326912749</v>
      </c>
    </row>
    <row r="245" spans="23:28" x14ac:dyDescent="0.3">
      <c r="W245">
        <f t="shared" si="27"/>
        <v>1.143901599497658</v>
      </c>
      <c r="Z245">
        <v>4</v>
      </c>
      <c r="AA245">
        <f t="shared" si="26"/>
        <v>22.126857738076772</v>
      </c>
      <c r="AB245">
        <f t="shared" si="28"/>
        <v>0.8357897958054098</v>
      </c>
    </row>
    <row r="246" spans="23:28" x14ac:dyDescent="0.3">
      <c r="W246">
        <f t="shared" si="27"/>
        <v>1.1441980805681298</v>
      </c>
      <c r="Z246">
        <v>4</v>
      </c>
      <c r="AA246">
        <f t="shared" si="26"/>
        <v>22.126561257006298</v>
      </c>
      <c r="AB246">
        <f t="shared" si="28"/>
        <v>0.82615847988380908</v>
      </c>
    </row>
    <row r="247" spans="23:28" x14ac:dyDescent="0.3">
      <c r="W247">
        <f t="shared" si="27"/>
        <v>1.1446093567063613</v>
      </c>
      <c r="Z247">
        <v>4</v>
      </c>
      <c r="AA247">
        <f t="shared" si="26"/>
        <v>22.126149980868068</v>
      </c>
      <c r="AB247">
        <f t="shared" si="28"/>
        <v>0.8153911530387663</v>
      </c>
    </row>
    <row r="248" spans="23:28" x14ac:dyDescent="0.3">
      <c r="W248">
        <f t="shared" si="27"/>
        <v>1.1451872587163414</v>
      </c>
      <c r="Z248">
        <v>4</v>
      </c>
      <c r="AA248">
        <f t="shared" si="26"/>
        <v>22.125572078858088</v>
      </c>
      <c r="AB248">
        <f t="shared" si="28"/>
        <v>0.80333332837909754</v>
      </c>
    </row>
    <row r="249" spans="23:28" x14ac:dyDescent="0.3">
      <c r="W249">
        <f t="shared" si="27"/>
        <v>1.1460106684293483</v>
      </c>
      <c r="Z249">
        <v>4</v>
      </c>
      <c r="AA249">
        <f t="shared" ref="AA249:AA312" si="29">$AA$55-(Z249-1)*$X$51-W249</f>
        <v>22.124748669145081</v>
      </c>
      <c r="AB249">
        <f t="shared" si="28"/>
        <v>0.78980806865897468</v>
      </c>
    </row>
    <row r="250" spans="23:28" x14ac:dyDescent="0.3">
      <c r="W250">
        <f t="shared" si="27"/>
        <v>1.1472017026793939</v>
      </c>
      <c r="Z250">
        <v>4</v>
      </c>
      <c r="AA250">
        <f t="shared" si="29"/>
        <v>22.123557634895036</v>
      </c>
      <c r="AB250">
        <f t="shared" si="28"/>
        <v>0.77461508690290759</v>
      </c>
    </row>
    <row r="251" spans="23:28" x14ac:dyDescent="0.3">
      <c r="W251">
        <f t="shared" si="27"/>
        <v>1.14862563631224</v>
      </c>
      <c r="Z251">
        <v>4</v>
      </c>
      <c r="AA251">
        <f t="shared" si="29"/>
        <v>22.122133701262189</v>
      </c>
      <c r="AB251">
        <f t="shared" si="28"/>
        <v>0.76038690457725777</v>
      </c>
    </row>
    <row r="252" spans="23:28" x14ac:dyDescent="0.3">
      <c r="W252">
        <f t="shared" si="27"/>
        <v>1.151267421042153</v>
      </c>
      <c r="Z252">
        <v>4</v>
      </c>
      <c r="AA252">
        <f t="shared" si="29"/>
        <v>22.119491916532276</v>
      </c>
      <c r="AB252">
        <f t="shared" si="28"/>
        <v>0.74027333028292353</v>
      </c>
    </row>
    <row r="253" spans="23:28" x14ac:dyDescent="0.3">
      <c r="W253">
        <f t="shared" si="27"/>
        <v>1.1549787815758645</v>
      </c>
      <c r="Z253">
        <v>4</v>
      </c>
      <c r="AA253">
        <f t="shared" si="29"/>
        <v>22.115780555998565</v>
      </c>
      <c r="AB253">
        <f t="shared" si="28"/>
        <v>0.71945185286861368</v>
      </c>
    </row>
    <row r="254" spans="23:28" x14ac:dyDescent="0.3">
      <c r="W254">
        <f t="shared" si="27"/>
        <v>1.1609627321979774</v>
      </c>
      <c r="Z254">
        <v>4</v>
      </c>
      <c r="AA254">
        <f t="shared" si="29"/>
        <v>22.109796605376452</v>
      </c>
      <c r="AB254">
        <f t="shared" si="28"/>
        <v>0.69510299977692602</v>
      </c>
    </row>
    <row r="255" spans="23:28" x14ac:dyDescent="0.3">
      <c r="W255">
        <f t="shared" si="27"/>
        <v>1.1702952871421346</v>
      </c>
      <c r="Z255">
        <v>4</v>
      </c>
      <c r="AA255">
        <f t="shared" si="29"/>
        <v>22.100464050432294</v>
      </c>
      <c r="AB255">
        <f t="shared" si="28"/>
        <v>0.66827742889075359</v>
      </c>
    </row>
    <row r="256" spans="23:28" x14ac:dyDescent="0.3">
      <c r="W256">
        <f t="shared" si="27"/>
        <v>1.1856465819804098</v>
      </c>
      <c r="Z256">
        <v>4</v>
      </c>
      <c r="AA256">
        <f t="shared" si="29"/>
        <v>22.085112755594018</v>
      </c>
      <c r="AB256">
        <f t="shared" si="28"/>
        <v>0.63793671515432082</v>
      </c>
    </row>
    <row r="257" spans="23:28" x14ac:dyDescent="0.3">
      <c r="W257">
        <f t="shared" si="27"/>
        <v>1.211044209731627</v>
      </c>
      <c r="Z257">
        <v>4</v>
      </c>
      <c r="AA257">
        <f t="shared" si="29"/>
        <v>22.0597151278428</v>
      </c>
      <c r="AB257">
        <f t="shared" si="28"/>
        <v>0.60451895949480172</v>
      </c>
    </row>
    <row r="258" spans="23:28" x14ac:dyDescent="0.3">
      <c r="W258">
        <f t="shared" si="27"/>
        <v>1.2547271862495781</v>
      </c>
      <c r="Z258">
        <v>4</v>
      </c>
      <c r="AA258">
        <f t="shared" si="29"/>
        <v>22.01603215132485</v>
      </c>
      <c r="AB258">
        <f t="shared" si="28"/>
        <v>0.56764407327826527</v>
      </c>
    </row>
    <row r="259" spans="23:28" x14ac:dyDescent="0.3">
      <c r="W259">
        <f t="shared" si="27"/>
        <v>1.3307024787234873</v>
      </c>
      <c r="Z259">
        <v>4</v>
      </c>
      <c r="AA259">
        <f t="shared" si="29"/>
        <v>21.940056858850941</v>
      </c>
      <c r="AB259">
        <f t="shared" si="28"/>
        <v>0.52819919103708846</v>
      </c>
    </row>
    <row r="260" spans="23:28" x14ac:dyDescent="0.3">
      <c r="W260">
        <f t="shared" si="27"/>
        <v>1.4677546166840529</v>
      </c>
      <c r="Z260">
        <v>4</v>
      </c>
      <c r="AA260">
        <f t="shared" si="29"/>
        <v>21.803004720890375</v>
      </c>
      <c r="AB260">
        <f t="shared" si="28"/>
        <v>0.48656332837244431</v>
      </c>
    </row>
    <row r="261" spans="23:28" x14ac:dyDescent="0.3">
      <c r="W261">
        <f t="shared" si="27"/>
        <v>1.7155867526768451</v>
      </c>
      <c r="Z261">
        <v>4</v>
      </c>
      <c r="AA261">
        <f t="shared" si="29"/>
        <v>21.555172584897583</v>
      </c>
      <c r="AB261">
        <f t="shared" si="28"/>
        <v>0.44490630075061705</v>
      </c>
    </row>
    <row r="262" spans="23:28" x14ac:dyDescent="0.3">
      <c r="W262">
        <f t="shared" si="27"/>
        <v>2.1861296462312865</v>
      </c>
      <c r="Z262">
        <v>4</v>
      </c>
      <c r="AA262">
        <f t="shared" si="29"/>
        <v>21.084629691343142</v>
      </c>
      <c r="AB262">
        <f t="shared" si="28"/>
        <v>0.40422770455153728</v>
      </c>
    </row>
    <row r="263" spans="23:28" x14ac:dyDescent="0.3">
      <c r="W263">
        <f t="shared" si="27"/>
        <v>2.2783011649994576</v>
      </c>
      <c r="Z263">
        <v>4</v>
      </c>
      <c r="AA263">
        <f t="shared" si="29"/>
        <v>20.99245817257497</v>
      </c>
      <c r="AB263">
        <f t="shared" si="28"/>
        <v>0.3988654244970895</v>
      </c>
    </row>
    <row r="264" spans="23:28" x14ac:dyDescent="0.3">
      <c r="W264">
        <f t="shared" si="27"/>
        <v>0</v>
      </c>
      <c r="Z264">
        <f>Z212+1</f>
        <v>5</v>
      </c>
      <c r="AA264">
        <f t="shared" si="29"/>
        <v>20.99245817257497</v>
      </c>
      <c r="AB264">
        <f t="shared" si="28"/>
        <v>0.98291280402450532</v>
      </c>
    </row>
    <row r="265" spans="23:28" x14ac:dyDescent="0.3">
      <c r="W265">
        <f t="shared" si="27"/>
        <v>1.1429999999999998</v>
      </c>
      <c r="Z265">
        <f t="shared" ref="Z265:Z328" si="30">Z213+1</f>
        <v>5</v>
      </c>
      <c r="AA265">
        <f t="shared" si="29"/>
        <v>19.84945817257497</v>
      </c>
      <c r="AB265">
        <f t="shared" si="28"/>
        <v>0.98291280402450532</v>
      </c>
    </row>
    <row r="266" spans="23:28" x14ac:dyDescent="0.3">
      <c r="W266">
        <f t="shared" si="27"/>
        <v>1.1429999999999998</v>
      </c>
      <c r="Z266">
        <f t="shared" si="30"/>
        <v>5</v>
      </c>
      <c r="AA266">
        <f t="shared" si="29"/>
        <v>19.84945817257497</v>
      </c>
      <c r="AB266">
        <f t="shared" si="28"/>
        <v>0.93029680368287238</v>
      </c>
    </row>
    <row r="267" spans="23:28" x14ac:dyDescent="0.3">
      <c r="W267">
        <f t="shared" si="27"/>
        <v>1.1430009999999997</v>
      </c>
      <c r="Z267">
        <f t="shared" si="30"/>
        <v>5</v>
      </c>
      <c r="AA267">
        <f t="shared" si="29"/>
        <v>19.849457172574972</v>
      </c>
      <c r="AB267">
        <f t="shared" si="28"/>
        <v>0.9263375056609463</v>
      </c>
    </row>
    <row r="268" spans="23:28" x14ac:dyDescent="0.3">
      <c r="W268">
        <f t="shared" si="27"/>
        <v>1.1430019999999999</v>
      </c>
      <c r="Z268">
        <f t="shared" si="30"/>
        <v>5</v>
      </c>
      <c r="AA268">
        <f t="shared" si="29"/>
        <v>19.849456172574971</v>
      </c>
      <c r="AB268">
        <f t="shared" si="28"/>
        <v>0.92410350289481191</v>
      </c>
    </row>
    <row r="269" spans="23:28" x14ac:dyDescent="0.3">
      <c r="W269">
        <f t="shared" si="27"/>
        <v>1.1430029999999998</v>
      </c>
      <c r="Z269">
        <f t="shared" si="30"/>
        <v>5</v>
      </c>
      <c r="AA269">
        <f t="shared" si="29"/>
        <v>19.84945517257497</v>
      </c>
      <c r="AB269">
        <f t="shared" si="28"/>
        <v>0.92246702056568797</v>
      </c>
    </row>
    <row r="270" spans="23:28" x14ac:dyDescent="0.3">
      <c r="W270">
        <f t="shared" si="27"/>
        <v>1.1430039999999997</v>
      </c>
      <c r="Z270">
        <f t="shared" si="30"/>
        <v>5</v>
      </c>
      <c r="AA270">
        <f t="shared" si="29"/>
        <v>19.849454172574969</v>
      </c>
      <c r="AB270">
        <f t="shared" si="28"/>
        <v>0.92112545075286889</v>
      </c>
    </row>
    <row r="271" spans="23:28" x14ac:dyDescent="0.3">
      <c r="W271">
        <f t="shared" si="27"/>
        <v>1.1430049999999998</v>
      </c>
      <c r="Z271">
        <f t="shared" si="30"/>
        <v>5</v>
      </c>
      <c r="AA271">
        <f t="shared" si="29"/>
        <v>19.849453172574972</v>
      </c>
      <c r="AB271">
        <f t="shared" si="28"/>
        <v>0.91996796940552472</v>
      </c>
    </row>
    <row r="272" spans="23:28" x14ac:dyDescent="0.3">
      <c r="W272">
        <f t="shared" si="27"/>
        <v>1.1430059999999997</v>
      </c>
      <c r="Z272">
        <f t="shared" si="30"/>
        <v>5</v>
      </c>
      <c r="AA272">
        <f t="shared" si="29"/>
        <v>19.849452172574971</v>
      </c>
      <c r="AB272">
        <f t="shared" si="28"/>
        <v>0.91893925200966098</v>
      </c>
    </row>
    <row r="273" spans="23:28" x14ac:dyDescent="0.3">
      <c r="W273">
        <f t="shared" si="27"/>
        <v>1.1430069999999999</v>
      </c>
      <c r="Z273">
        <f t="shared" si="30"/>
        <v>5</v>
      </c>
      <c r="AA273">
        <f t="shared" si="29"/>
        <v>19.84945117257497</v>
      </c>
      <c r="AB273">
        <f t="shared" si="28"/>
        <v>0.91800698533963754</v>
      </c>
    </row>
    <row r="274" spans="23:28" x14ac:dyDescent="0.3">
      <c r="W274">
        <f t="shared" si="27"/>
        <v>1.1430081501326101</v>
      </c>
      <c r="Z274">
        <f t="shared" si="30"/>
        <v>5</v>
      </c>
      <c r="AA274">
        <f t="shared" si="29"/>
        <v>19.849450022442362</v>
      </c>
      <c r="AB274">
        <f t="shared" si="28"/>
        <v>0.91702734816235443</v>
      </c>
    </row>
    <row r="275" spans="23:28" x14ac:dyDescent="0.3">
      <c r="W275">
        <f t="shared" si="27"/>
        <v>1.1430095249244923</v>
      </c>
      <c r="Z275">
        <f t="shared" si="30"/>
        <v>5</v>
      </c>
      <c r="AA275">
        <f t="shared" si="29"/>
        <v>19.84944864765048</v>
      </c>
      <c r="AB275">
        <f t="shared" si="28"/>
        <v>0.9159585801938982</v>
      </c>
    </row>
    <row r="276" spans="23:28" x14ac:dyDescent="0.3">
      <c r="W276">
        <f t="shared" si="27"/>
        <v>1.1430111673040606</v>
      </c>
      <c r="Z276">
        <f t="shared" si="30"/>
        <v>5</v>
      </c>
      <c r="AA276">
        <f t="shared" si="29"/>
        <v>19.84944700527091</v>
      </c>
      <c r="AB276">
        <f t="shared" si="28"/>
        <v>0.91479625559011313</v>
      </c>
    </row>
    <row r="277" spans="23:28" x14ac:dyDescent="0.3">
      <c r="W277">
        <f t="shared" si="27"/>
        <v>1.1430131370239121</v>
      </c>
      <c r="Z277">
        <f t="shared" si="30"/>
        <v>5</v>
      </c>
      <c r="AA277">
        <f t="shared" si="29"/>
        <v>19.849445035551057</v>
      </c>
      <c r="AB277">
        <f t="shared" si="28"/>
        <v>0.91353048339815646</v>
      </c>
    </row>
    <row r="278" spans="23:28" x14ac:dyDescent="0.3">
      <c r="W278">
        <f t="shared" si="27"/>
        <v>1.1430155077632504</v>
      </c>
      <c r="Z278">
        <f t="shared" si="30"/>
        <v>5</v>
      </c>
      <c r="AA278">
        <f t="shared" si="29"/>
        <v>19.849442664811718</v>
      </c>
      <c r="AB278">
        <f t="shared" si="28"/>
        <v>0.91215088532597044</v>
      </c>
    </row>
    <row r="279" spans="23:28" x14ac:dyDescent="0.3">
      <c r="W279">
        <f t="shared" si="27"/>
        <v>1.1430183719688318</v>
      </c>
      <c r="Z279">
        <f t="shared" si="30"/>
        <v>5</v>
      </c>
      <c r="AA279">
        <f t="shared" si="29"/>
        <v>19.849439800606138</v>
      </c>
      <c r="AB279">
        <f t="shared" si="28"/>
        <v>0.91064585001688003</v>
      </c>
    </row>
    <row r="280" spans="23:28" x14ac:dyDescent="0.3">
      <c r="W280">
        <f t="shared" si="27"/>
        <v>1.1430218460191757</v>
      </c>
      <c r="Z280">
        <f t="shared" si="30"/>
        <v>5</v>
      </c>
      <c r="AA280">
        <f t="shared" si="29"/>
        <v>19.849436326555796</v>
      </c>
      <c r="AB280">
        <f t="shared" si="28"/>
        <v>0.90900246739993606</v>
      </c>
    </row>
    <row r="281" spans="23:28" x14ac:dyDescent="0.3">
      <c r="W281">
        <f t="shared" si="27"/>
        <v>1.1430260771680438</v>
      </c>
      <c r="Z281">
        <f t="shared" si="30"/>
        <v>5</v>
      </c>
      <c r="AA281">
        <f t="shared" si="29"/>
        <v>19.849432095406925</v>
      </c>
      <c r="AB281">
        <f t="shared" si="28"/>
        <v>0.90720635607175415</v>
      </c>
    </row>
    <row r="282" spans="23:28" x14ac:dyDescent="0.3">
      <c r="W282">
        <f t="shared" si="27"/>
        <v>1.1430312526971509</v>
      </c>
      <c r="Z282">
        <f t="shared" si="30"/>
        <v>5</v>
      </c>
      <c r="AA282">
        <f t="shared" si="29"/>
        <v>19.849426919877821</v>
      </c>
      <c r="AB282">
        <f t="shared" si="28"/>
        <v>0.90524147856173309</v>
      </c>
    </row>
    <row r="283" spans="23:28" x14ac:dyDescent="0.3">
      <c r="W283">
        <f t="shared" si="27"/>
        <v>1.1430376120900665</v>
      </c>
      <c r="Z283">
        <f t="shared" si="30"/>
        <v>5</v>
      </c>
      <c r="AA283">
        <f t="shared" si="29"/>
        <v>19.849420560484905</v>
      </c>
      <c r="AB283">
        <f t="shared" si="28"/>
        <v>0.90308992791247966</v>
      </c>
    </row>
    <row r="284" spans="23:28" x14ac:dyDescent="0.3">
      <c r="W284">
        <f t="shared" si="27"/>
        <v>1.1430454633263125</v>
      </c>
      <c r="Z284">
        <f t="shared" si="30"/>
        <v>5</v>
      </c>
      <c r="AA284">
        <f t="shared" si="29"/>
        <v>19.849412709248657</v>
      </c>
      <c r="AB284">
        <f t="shared" si="28"/>
        <v>0.90073168239924084</v>
      </c>
    </row>
    <row r="285" spans="23:28" x14ac:dyDescent="0.3">
      <c r="W285">
        <f t="shared" si="27"/>
        <v>1.1430552048418579</v>
      </c>
      <c r="Z285">
        <f t="shared" si="30"/>
        <v>5</v>
      </c>
      <c r="AA285">
        <f t="shared" si="29"/>
        <v>19.849402967733113</v>
      </c>
      <c r="AB285">
        <f t="shared" si="28"/>
        <v>0.89814432232808461</v>
      </c>
    </row>
    <row r="286" spans="23:28" x14ac:dyDescent="0.3">
      <c r="W286">
        <f t="shared" si="27"/>
        <v>1.1430673553416779</v>
      </c>
      <c r="Z286">
        <f t="shared" si="30"/>
        <v>5</v>
      </c>
      <c r="AA286">
        <f t="shared" si="29"/>
        <v>19.849390817233292</v>
      </c>
      <c r="AB286">
        <f t="shared" si="28"/>
        <v>0.89530270197348261</v>
      </c>
    </row>
    <row r="287" spans="23:28" x14ac:dyDescent="0.3">
      <c r="W287">
        <f t="shared" si="27"/>
        <v>1.1430825945820569</v>
      </c>
      <c r="Z287">
        <f t="shared" si="30"/>
        <v>5</v>
      </c>
      <c r="AA287">
        <f t="shared" si="29"/>
        <v>19.849375577992912</v>
      </c>
      <c r="AB287">
        <f t="shared" si="28"/>
        <v>0.89217856822269714</v>
      </c>
    </row>
    <row r="288" spans="23:28" x14ac:dyDescent="0.3">
      <c r="W288">
        <f t="shared" si="27"/>
        <v>1.1431018196091138</v>
      </c>
      <c r="Z288">
        <f t="shared" si="30"/>
        <v>5</v>
      </c>
      <c r="AA288">
        <f t="shared" si="29"/>
        <v>19.849356352965856</v>
      </c>
      <c r="AB288">
        <f t="shared" si="28"/>
        <v>0.88874011591112845</v>
      </c>
    </row>
    <row r="289" spans="23:28" x14ac:dyDescent="0.3">
      <c r="W289">
        <f t="shared" si="27"/>
        <v>1.1431262229715509</v>
      </c>
      <c r="Z289">
        <f t="shared" si="30"/>
        <v>5</v>
      </c>
      <c r="AA289">
        <f t="shared" si="29"/>
        <v>19.849331949603421</v>
      </c>
      <c r="AB289">
        <f t="shared" si="28"/>
        <v>0.88495146788830703</v>
      </c>
    </row>
    <row r="290" spans="23:28" x14ac:dyDescent="0.3">
      <c r="W290">
        <f t="shared" si="27"/>
        <v>1.1431574024708098</v>
      </c>
      <c r="Z290">
        <f t="shared" si="30"/>
        <v>5</v>
      </c>
      <c r="AA290">
        <f t="shared" si="29"/>
        <v>19.849300770104161</v>
      </c>
      <c r="AB290">
        <f t="shared" si="28"/>
        <v>0.88077206574924116</v>
      </c>
    </row>
    <row r="291" spans="23:28" x14ac:dyDescent="0.3">
      <c r="W291">
        <f t="shared" si="27"/>
        <v>1.1431975166274602</v>
      </c>
      <c r="Z291">
        <f t="shared" si="30"/>
        <v>5</v>
      </c>
      <c r="AA291">
        <f t="shared" si="29"/>
        <v>19.849260655947511</v>
      </c>
      <c r="AB291">
        <f t="shared" si="28"/>
        <v>0.87615595477184927</v>
      </c>
    </row>
    <row r="292" spans="23:28" x14ac:dyDescent="0.3">
      <c r="W292">
        <f t="shared" si="27"/>
        <v>1.1432495071180451</v>
      </c>
      <c r="Z292">
        <f t="shared" si="30"/>
        <v>5</v>
      </c>
      <c r="AA292">
        <f t="shared" si="29"/>
        <v>19.849208665456924</v>
      </c>
      <c r="AB292">
        <f t="shared" si="28"/>
        <v>0.87105094411999118</v>
      </c>
    </row>
    <row r="293" spans="23:28" x14ac:dyDescent="0.3">
      <c r="W293">
        <f t="shared" si="27"/>
        <v>1.1433174204155976</v>
      </c>
      <c r="Z293">
        <f t="shared" si="30"/>
        <v>5</v>
      </c>
      <c r="AA293">
        <f t="shared" si="29"/>
        <v>19.849140752159371</v>
      </c>
      <c r="AB293">
        <f t="shared" si="28"/>
        <v>0.86539762083250626</v>
      </c>
    </row>
    <row r="294" spans="23:28" x14ac:dyDescent="0.3">
      <c r="W294">
        <f t="shared" si="27"/>
        <v>1.1434068781193563</v>
      </c>
      <c r="Z294">
        <f t="shared" si="30"/>
        <v>5</v>
      </c>
      <c r="AA294">
        <f t="shared" si="29"/>
        <v>19.849051294455613</v>
      </c>
      <c r="AB294">
        <f t="shared" si="28"/>
        <v>0.8591281939956712</v>
      </c>
    </row>
    <row r="295" spans="23:28" x14ac:dyDescent="0.3">
      <c r="W295">
        <f t="shared" si="27"/>
        <v>1.1435257729394583</v>
      </c>
      <c r="Z295">
        <f t="shared" si="30"/>
        <v>5</v>
      </c>
      <c r="AA295">
        <f t="shared" si="29"/>
        <v>19.848932399635512</v>
      </c>
      <c r="AB295">
        <f t="shared" si="28"/>
        <v>0.85216514411116695</v>
      </c>
    </row>
    <row r="296" spans="23:28" x14ac:dyDescent="0.3">
      <c r="W296">
        <f t="shared" si="27"/>
        <v>1.1436853116960297</v>
      </c>
      <c r="Z296">
        <f t="shared" si="30"/>
        <v>5</v>
      </c>
      <c r="AA296">
        <f t="shared" si="29"/>
        <v>19.848772860878942</v>
      </c>
      <c r="AB296">
        <f t="shared" si="28"/>
        <v>0.84441965326912749</v>
      </c>
    </row>
    <row r="297" spans="23:28" x14ac:dyDescent="0.3">
      <c r="W297">
        <f t="shared" si="27"/>
        <v>1.143901599497658</v>
      </c>
      <c r="Z297">
        <f t="shared" si="30"/>
        <v>5</v>
      </c>
      <c r="AA297">
        <f t="shared" si="29"/>
        <v>19.848556573077314</v>
      </c>
      <c r="AB297">
        <f t="shared" si="28"/>
        <v>0.8357897958054098</v>
      </c>
    </row>
    <row r="298" spans="23:28" x14ac:dyDescent="0.3">
      <c r="W298">
        <f t="shared" si="27"/>
        <v>1.1441980805681298</v>
      </c>
      <c r="Z298">
        <f t="shared" si="30"/>
        <v>5</v>
      </c>
      <c r="AA298">
        <f t="shared" si="29"/>
        <v>19.848260092006839</v>
      </c>
      <c r="AB298">
        <f t="shared" si="28"/>
        <v>0.82615847988380908</v>
      </c>
    </row>
    <row r="299" spans="23:28" x14ac:dyDescent="0.3">
      <c r="W299">
        <f t="shared" si="27"/>
        <v>1.1446093567063613</v>
      </c>
      <c r="Z299">
        <f t="shared" si="30"/>
        <v>5</v>
      </c>
      <c r="AA299">
        <f t="shared" si="29"/>
        <v>19.847848815868609</v>
      </c>
      <c r="AB299">
        <f t="shared" si="28"/>
        <v>0.8153911530387663</v>
      </c>
    </row>
    <row r="300" spans="23:28" x14ac:dyDescent="0.3">
      <c r="W300">
        <f t="shared" si="27"/>
        <v>1.1451872587163414</v>
      </c>
      <c r="Z300">
        <f t="shared" si="30"/>
        <v>5</v>
      </c>
      <c r="AA300">
        <f t="shared" si="29"/>
        <v>19.84727091385863</v>
      </c>
      <c r="AB300">
        <f t="shared" si="28"/>
        <v>0.80333332837909754</v>
      </c>
    </row>
    <row r="301" spans="23:28" x14ac:dyDescent="0.3">
      <c r="W301">
        <f t="shared" ref="W301:W364" si="31">W249</f>
        <v>1.1460106684293483</v>
      </c>
      <c r="Z301">
        <f t="shared" si="30"/>
        <v>5</v>
      </c>
      <c r="AA301">
        <f t="shared" si="29"/>
        <v>19.846447504145623</v>
      </c>
      <c r="AB301">
        <f t="shared" ref="AB301:AB364" si="32">AB249</f>
        <v>0.78980806865897468</v>
      </c>
    </row>
    <row r="302" spans="23:28" x14ac:dyDescent="0.3">
      <c r="W302">
        <f t="shared" si="31"/>
        <v>1.1472017026793939</v>
      </c>
      <c r="Z302">
        <f t="shared" si="30"/>
        <v>5</v>
      </c>
      <c r="AA302">
        <f t="shared" si="29"/>
        <v>19.845256469895578</v>
      </c>
      <c r="AB302">
        <f t="shared" si="32"/>
        <v>0.77461508690290759</v>
      </c>
    </row>
    <row r="303" spans="23:28" x14ac:dyDescent="0.3">
      <c r="W303">
        <f t="shared" si="31"/>
        <v>1.14862563631224</v>
      </c>
      <c r="Z303">
        <f t="shared" si="30"/>
        <v>5</v>
      </c>
      <c r="AA303">
        <f t="shared" si="29"/>
        <v>19.843832536262731</v>
      </c>
      <c r="AB303">
        <f t="shared" si="32"/>
        <v>0.76038690457725777</v>
      </c>
    </row>
    <row r="304" spans="23:28" x14ac:dyDescent="0.3">
      <c r="W304">
        <f t="shared" si="31"/>
        <v>1.151267421042153</v>
      </c>
      <c r="Z304">
        <f t="shared" si="30"/>
        <v>5</v>
      </c>
      <c r="AA304">
        <f t="shared" si="29"/>
        <v>19.841190751532817</v>
      </c>
      <c r="AB304">
        <f t="shared" si="32"/>
        <v>0.74027333028292353</v>
      </c>
    </row>
    <row r="305" spans="23:28" x14ac:dyDescent="0.3">
      <c r="W305">
        <f t="shared" si="31"/>
        <v>1.1549787815758645</v>
      </c>
      <c r="Z305">
        <f t="shared" si="30"/>
        <v>5</v>
      </c>
      <c r="AA305">
        <f t="shared" si="29"/>
        <v>19.837479390999107</v>
      </c>
      <c r="AB305">
        <f t="shared" si="32"/>
        <v>0.71945185286861368</v>
      </c>
    </row>
    <row r="306" spans="23:28" x14ac:dyDescent="0.3">
      <c r="W306">
        <f t="shared" si="31"/>
        <v>1.1609627321979774</v>
      </c>
      <c r="Z306">
        <f t="shared" si="30"/>
        <v>5</v>
      </c>
      <c r="AA306">
        <f t="shared" si="29"/>
        <v>19.831495440376994</v>
      </c>
      <c r="AB306">
        <f t="shared" si="32"/>
        <v>0.69510299977692602</v>
      </c>
    </row>
    <row r="307" spans="23:28" x14ac:dyDescent="0.3">
      <c r="W307">
        <f t="shared" si="31"/>
        <v>1.1702952871421346</v>
      </c>
      <c r="Z307">
        <f t="shared" si="30"/>
        <v>5</v>
      </c>
      <c r="AA307">
        <f t="shared" si="29"/>
        <v>19.822162885432835</v>
      </c>
      <c r="AB307">
        <f t="shared" si="32"/>
        <v>0.66827742889075359</v>
      </c>
    </row>
    <row r="308" spans="23:28" x14ac:dyDescent="0.3">
      <c r="W308">
        <f t="shared" si="31"/>
        <v>1.1856465819804098</v>
      </c>
      <c r="Z308">
        <f t="shared" si="30"/>
        <v>5</v>
      </c>
      <c r="AA308">
        <f t="shared" si="29"/>
        <v>19.80681159059456</v>
      </c>
      <c r="AB308">
        <f t="shared" si="32"/>
        <v>0.63793671515432082</v>
      </c>
    </row>
    <row r="309" spans="23:28" x14ac:dyDescent="0.3">
      <c r="W309">
        <f t="shared" si="31"/>
        <v>1.211044209731627</v>
      </c>
      <c r="Z309">
        <f t="shared" si="30"/>
        <v>5</v>
      </c>
      <c r="AA309">
        <f t="shared" si="29"/>
        <v>19.781413962843345</v>
      </c>
      <c r="AB309">
        <f t="shared" si="32"/>
        <v>0.60451895949480172</v>
      </c>
    </row>
    <row r="310" spans="23:28" x14ac:dyDescent="0.3">
      <c r="W310">
        <f t="shared" si="31"/>
        <v>1.2547271862495781</v>
      </c>
      <c r="Z310">
        <f t="shared" si="30"/>
        <v>5</v>
      </c>
      <c r="AA310">
        <f t="shared" si="29"/>
        <v>19.737730986325392</v>
      </c>
      <c r="AB310">
        <f t="shared" si="32"/>
        <v>0.56764407327826527</v>
      </c>
    </row>
    <row r="311" spans="23:28" x14ac:dyDescent="0.3">
      <c r="W311">
        <f t="shared" si="31"/>
        <v>1.3307024787234873</v>
      </c>
      <c r="Z311">
        <f t="shared" si="30"/>
        <v>5</v>
      </c>
      <c r="AA311">
        <f t="shared" si="29"/>
        <v>19.661755693851482</v>
      </c>
      <c r="AB311">
        <f t="shared" si="32"/>
        <v>0.52819919103708846</v>
      </c>
    </row>
    <row r="312" spans="23:28" x14ac:dyDescent="0.3">
      <c r="W312">
        <f t="shared" si="31"/>
        <v>1.4677546166840529</v>
      </c>
      <c r="Z312">
        <f t="shared" si="30"/>
        <v>5</v>
      </c>
      <c r="AA312">
        <f t="shared" si="29"/>
        <v>19.524703555890916</v>
      </c>
      <c r="AB312">
        <f t="shared" si="32"/>
        <v>0.48656332837244431</v>
      </c>
    </row>
    <row r="313" spans="23:28" x14ac:dyDescent="0.3">
      <c r="W313">
        <f t="shared" si="31"/>
        <v>1.7155867526768451</v>
      </c>
      <c r="Z313">
        <f t="shared" si="30"/>
        <v>5</v>
      </c>
      <c r="AA313">
        <f t="shared" ref="AA313:AA364" si="33">$AA$55-(Z313-1)*$X$51-W313</f>
        <v>19.276871419898125</v>
      </c>
      <c r="AB313">
        <f t="shared" si="32"/>
        <v>0.44490630075061705</v>
      </c>
    </row>
    <row r="314" spans="23:28" x14ac:dyDescent="0.3">
      <c r="W314">
        <f t="shared" si="31"/>
        <v>2.1861296462312865</v>
      </c>
      <c r="Z314">
        <f t="shared" si="30"/>
        <v>5</v>
      </c>
      <c r="AA314">
        <f t="shared" si="33"/>
        <v>18.806328526343684</v>
      </c>
      <c r="AB314">
        <f t="shared" si="32"/>
        <v>0.40422770455153728</v>
      </c>
    </row>
    <row r="315" spans="23:28" x14ac:dyDescent="0.3">
      <c r="W315">
        <f t="shared" si="31"/>
        <v>2.2783011649994576</v>
      </c>
      <c r="Z315">
        <f t="shared" si="30"/>
        <v>5</v>
      </c>
      <c r="AA315">
        <f t="shared" si="33"/>
        <v>18.714157007575512</v>
      </c>
      <c r="AB315">
        <f t="shared" si="32"/>
        <v>0.3988654244970895</v>
      </c>
    </row>
    <row r="316" spans="23:28" x14ac:dyDescent="0.3">
      <c r="W316">
        <f t="shared" si="31"/>
        <v>0</v>
      </c>
      <c r="Z316">
        <f>Z264+1</f>
        <v>6</v>
      </c>
      <c r="AA316">
        <f t="shared" si="33"/>
        <v>18.714157007575512</v>
      </c>
      <c r="AB316">
        <f t="shared" si="32"/>
        <v>0.98291280402450532</v>
      </c>
    </row>
    <row r="317" spans="23:28" x14ac:dyDescent="0.3">
      <c r="W317">
        <f t="shared" si="31"/>
        <v>1.1429999999999998</v>
      </c>
      <c r="Z317">
        <f t="shared" si="30"/>
        <v>6</v>
      </c>
      <c r="AA317">
        <f t="shared" si="33"/>
        <v>17.571157007575511</v>
      </c>
      <c r="AB317">
        <f t="shared" si="32"/>
        <v>0.98291280402450532</v>
      </c>
    </row>
    <row r="318" spans="23:28" x14ac:dyDescent="0.3">
      <c r="W318">
        <f t="shared" si="31"/>
        <v>1.1429999999999998</v>
      </c>
      <c r="Z318">
        <f t="shared" si="30"/>
        <v>6</v>
      </c>
      <c r="AA318">
        <f t="shared" si="33"/>
        <v>17.571157007575511</v>
      </c>
      <c r="AB318">
        <f t="shared" si="32"/>
        <v>0.93029680368287238</v>
      </c>
    </row>
    <row r="319" spans="23:28" x14ac:dyDescent="0.3">
      <c r="W319">
        <f t="shared" si="31"/>
        <v>1.1430009999999997</v>
      </c>
      <c r="Z319">
        <f t="shared" si="30"/>
        <v>6</v>
      </c>
      <c r="AA319">
        <f t="shared" si="33"/>
        <v>17.571156007575514</v>
      </c>
      <c r="AB319">
        <f t="shared" si="32"/>
        <v>0.9263375056609463</v>
      </c>
    </row>
    <row r="320" spans="23:28" x14ac:dyDescent="0.3">
      <c r="W320">
        <f t="shared" si="31"/>
        <v>1.1430019999999999</v>
      </c>
      <c r="Z320">
        <f t="shared" si="30"/>
        <v>6</v>
      </c>
      <c r="AA320">
        <f t="shared" si="33"/>
        <v>17.571155007575513</v>
      </c>
      <c r="AB320">
        <f t="shared" si="32"/>
        <v>0.92410350289481191</v>
      </c>
    </row>
    <row r="321" spans="23:28" x14ac:dyDescent="0.3">
      <c r="W321">
        <f t="shared" si="31"/>
        <v>1.1430029999999998</v>
      </c>
      <c r="Z321">
        <f t="shared" si="30"/>
        <v>6</v>
      </c>
      <c r="AA321">
        <f t="shared" si="33"/>
        <v>17.571154007575512</v>
      </c>
      <c r="AB321">
        <f t="shared" si="32"/>
        <v>0.92246702056568797</v>
      </c>
    </row>
    <row r="322" spans="23:28" x14ac:dyDescent="0.3">
      <c r="W322">
        <f t="shared" si="31"/>
        <v>1.1430039999999997</v>
      </c>
      <c r="Z322">
        <f t="shared" si="30"/>
        <v>6</v>
      </c>
      <c r="AA322">
        <f t="shared" si="33"/>
        <v>17.571153007575511</v>
      </c>
      <c r="AB322">
        <f t="shared" si="32"/>
        <v>0.92112545075286889</v>
      </c>
    </row>
    <row r="323" spans="23:28" x14ac:dyDescent="0.3">
      <c r="W323">
        <f t="shared" si="31"/>
        <v>1.1430049999999998</v>
      </c>
      <c r="Z323">
        <f t="shared" si="30"/>
        <v>6</v>
      </c>
      <c r="AA323">
        <f t="shared" si="33"/>
        <v>17.571152007575513</v>
      </c>
      <c r="AB323">
        <f t="shared" si="32"/>
        <v>0.91996796940552472</v>
      </c>
    </row>
    <row r="324" spans="23:28" x14ac:dyDescent="0.3">
      <c r="W324">
        <f t="shared" si="31"/>
        <v>1.1430059999999997</v>
      </c>
      <c r="Z324">
        <f t="shared" si="30"/>
        <v>6</v>
      </c>
      <c r="AA324">
        <f t="shared" si="33"/>
        <v>17.571151007575512</v>
      </c>
      <c r="AB324">
        <f t="shared" si="32"/>
        <v>0.91893925200966098</v>
      </c>
    </row>
    <row r="325" spans="23:28" x14ac:dyDescent="0.3">
      <c r="W325">
        <f t="shared" si="31"/>
        <v>1.1430069999999999</v>
      </c>
      <c r="Z325">
        <f t="shared" si="30"/>
        <v>6</v>
      </c>
      <c r="AA325">
        <f t="shared" si="33"/>
        <v>17.571150007575511</v>
      </c>
      <c r="AB325">
        <f t="shared" si="32"/>
        <v>0.91800698533963754</v>
      </c>
    </row>
    <row r="326" spans="23:28" x14ac:dyDescent="0.3">
      <c r="W326">
        <f t="shared" si="31"/>
        <v>1.1430081501326101</v>
      </c>
      <c r="Z326">
        <f t="shared" si="30"/>
        <v>6</v>
      </c>
      <c r="AA326">
        <f t="shared" si="33"/>
        <v>17.571148857442903</v>
      </c>
      <c r="AB326">
        <f t="shared" si="32"/>
        <v>0.91702734816235443</v>
      </c>
    </row>
    <row r="327" spans="23:28" x14ac:dyDescent="0.3">
      <c r="W327">
        <f t="shared" si="31"/>
        <v>1.1430095249244923</v>
      </c>
      <c r="Z327">
        <f t="shared" si="30"/>
        <v>6</v>
      </c>
      <c r="AA327">
        <f t="shared" si="33"/>
        <v>17.571147482651021</v>
      </c>
      <c r="AB327">
        <f t="shared" si="32"/>
        <v>0.9159585801938982</v>
      </c>
    </row>
    <row r="328" spans="23:28" x14ac:dyDescent="0.3">
      <c r="W328">
        <f t="shared" si="31"/>
        <v>1.1430111673040606</v>
      </c>
      <c r="Z328">
        <f t="shared" si="30"/>
        <v>6</v>
      </c>
      <c r="AA328">
        <f t="shared" si="33"/>
        <v>17.571145840271452</v>
      </c>
      <c r="AB328">
        <f t="shared" si="32"/>
        <v>0.91479625559011313</v>
      </c>
    </row>
    <row r="329" spans="23:28" x14ac:dyDescent="0.3">
      <c r="W329">
        <f t="shared" si="31"/>
        <v>1.1430131370239121</v>
      </c>
      <c r="Z329">
        <f t="shared" ref="Z329:Z367" si="34">Z277+1</f>
        <v>6</v>
      </c>
      <c r="AA329">
        <f t="shared" si="33"/>
        <v>17.571143870551602</v>
      </c>
      <c r="AB329">
        <f t="shared" si="32"/>
        <v>0.91353048339815646</v>
      </c>
    </row>
    <row r="330" spans="23:28" x14ac:dyDescent="0.3">
      <c r="W330">
        <f t="shared" si="31"/>
        <v>1.1430155077632504</v>
      </c>
      <c r="Z330">
        <f t="shared" si="34"/>
        <v>6</v>
      </c>
      <c r="AA330">
        <f t="shared" si="33"/>
        <v>17.57114149981226</v>
      </c>
      <c r="AB330">
        <f t="shared" si="32"/>
        <v>0.91215088532597044</v>
      </c>
    </row>
    <row r="331" spans="23:28" x14ac:dyDescent="0.3">
      <c r="W331">
        <f t="shared" si="31"/>
        <v>1.1430183719688318</v>
      </c>
      <c r="Z331">
        <f t="shared" si="34"/>
        <v>6</v>
      </c>
      <c r="AA331">
        <f t="shared" si="33"/>
        <v>17.57113863560668</v>
      </c>
      <c r="AB331">
        <f t="shared" si="32"/>
        <v>0.91064585001688003</v>
      </c>
    </row>
    <row r="332" spans="23:28" x14ac:dyDescent="0.3">
      <c r="W332">
        <f t="shared" si="31"/>
        <v>1.1430218460191757</v>
      </c>
      <c r="Z332">
        <f t="shared" si="34"/>
        <v>6</v>
      </c>
      <c r="AA332">
        <f t="shared" si="33"/>
        <v>17.571135161556334</v>
      </c>
      <c r="AB332">
        <f t="shared" si="32"/>
        <v>0.90900246739993606</v>
      </c>
    </row>
    <row r="333" spans="23:28" x14ac:dyDescent="0.3">
      <c r="W333">
        <f t="shared" si="31"/>
        <v>1.1430260771680438</v>
      </c>
      <c r="Z333">
        <f t="shared" si="34"/>
        <v>6</v>
      </c>
      <c r="AA333">
        <f t="shared" si="33"/>
        <v>17.571130930407467</v>
      </c>
      <c r="AB333">
        <f t="shared" si="32"/>
        <v>0.90720635607175415</v>
      </c>
    </row>
    <row r="334" spans="23:28" x14ac:dyDescent="0.3">
      <c r="W334">
        <f t="shared" si="31"/>
        <v>1.1430312526971509</v>
      </c>
      <c r="Z334">
        <f t="shared" si="34"/>
        <v>6</v>
      </c>
      <c r="AA334">
        <f t="shared" si="33"/>
        <v>17.571125754878359</v>
      </c>
      <c r="AB334">
        <f t="shared" si="32"/>
        <v>0.90524147856173309</v>
      </c>
    </row>
    <row r="335" spans="23:28" x14ac:dyDescent="0.3">
      <c r="W335">
        <f t="shared" si="31"/>
        <v>1.1430376120900665</v>
      </c>
      <c r="Z335">
        <f t="shared" si="34"/>
        <v>6</v>
      </c>
      <c r="AA335">
        <f t="shared" si="33"/>
        <v>17.571119395485447</v>
      </c>
      <c r="AB335">
        <f t="shared" si="32"/>
        <v>0.90308992791247966</v>
      </c>
    </row>
    <row r="336" spans="23:28" x14ac:dyDescent="0.3">
      <c r="W336">
        <f t="shared" si="31"/>
        <v>1.1430454633263125</v>
      </c>
      <c r="Z336">
        <f t="shared" si="34"/>
        <v>6</v>
      </c>
      <c r="AA336">
        <f t="shared" si="33"/>
        <v>17.571111544249199</v>
      </c>
      <c r="AB336">
        <f t="shared" si="32"/>
        <v>0.90073168239924084</v>
      </c>
    </row>
    <row r="337" spans="23:28" x14ac:dyDescent="0.3">
      <c r="W337">
        <f t="shared" si="31"/>
        <v>1.1430552048418579</v>
      </c>
      <c r="Z337">
        <f t="shared" si="34"/>
        <v>6</v>
      </c>
      <c r="AA337">
        <f t="shared" si="33"/>
        <v>17.571101802733654</v>
      </c>
      <c r="AB337">
        <f t="shared" si="32"/>
        <v>0.89814432232808461</v>
      </c>
    </row>
    <row r="338" spans="23:28" x14ac:dyDescent="0.3">
      <c r="W338">
        <f t="shared" si="31"/>
        <v>1.1430673553416779</v>
      </c>
      <c r="Z338">
        <f t="shared" si="34"/>
        <v>6</v>
      </c>
      <c r="AA338">
        <f t="shared" si="33"/>
        <v>17.571089652233834</v>
      </c>
      <c r="AB338">
        <f t="shared" si="32"/>
        <v>0.89530270197348261</v>
      </c>
    </row>
    <row r="339" spans="23:28" x14ac:dyDescent="0.3">
      <c r="W339">
        <f t="shared" si="31"/>
        <v>1.1430825945820569</v>
      </c>
      <c r="Z339">
        <f t="shared" si="34"/>
        <v>6</v>
      </c>
      <c r="AA339">
        <f t="shared" si="33"/>
        <v>17.571074412993454</v>
      </c>
      <c r="AB339">
        <f t="shared" si="32"/>
        <v>0.89217856822269714</v>
      </c>
    </row>
    <row r="340" spans="23:28" x14ac:dyDescent="0.3">
      <c r="W340">
        <f t="shared" si="31"/>
        <v>1.1431018196091138</v>
      </c>
      <c r="Z340">
        <f t="shared" si="34"/>
        <v>6</v>
      </c>
      <c r="AA340">
        <f t="shared" si="33"/>
        <v>17.571055187966397</v>
      </c>
      <c r="AB340">
        <f t="shared" si="32"/>
        <v>0.88874011591112845</v>
      </c>
    </row>
    <row r="341" spans="23:28" x14ac:dyDescent="0.3">
      <c r="W341">
        <f t="shared" si="31"/>
        <v>1.1431262229715509</v>
      </c>
      <c r="Z341">
        <f t="shared" si="34"/>
        <v>6</v>
      </c>
      <c r="AA341">
        <f t="shared" si="33"/>
        <v>17.571030784603963</v>
      </c>
      <c r="AB341">
        <f t="shared" si="32"/>
        <v>0.88495146788830703</v>
      </c>
    </row>
    <row r="342" spans="23:28" x14ac:dyDescent="0.3">
      <c r="W342">
        <f t="shared" si="31"/>
        <v>1.1431574024708098</v>
      </c>
      <c r="Z342">
        <f t="shared" si="34"/>
        <v>6</v>
      </c>
      <c r="AA342">
        <f t="shared" si="33"/>
        <v>17.570999605104703</v>
      </c>
      <c r="AB342">
        <f t="shared" si="32"/>
        <v>0.88077206574924116</v>
      </c>
    </row>
    <row r="343" spans="23:28" x14ac:dyDescent="0.3">
      <c r="W343">
        <f t="shared" si="31"/>
        <v>1.1431975166274602</v>
      </c>
      <c r="Z343">
        <f t="shared" si="34"/>
        <v>6</v>
      </c>
      <c r="AA343">
        <f t="shared" si="33"/>
        <v>17.570959490948052</v>
      </c>
      <c r="AB343">
        <f t="shared" si="32"/>
        <v>0.87615595477184927</v>
      </c>
    </row>
    <row r="344" spans="23:28" x14ac:dyDescent="0.3">
      <c r="W344">
        <f t="shared" si="31"/>
        <v>1.1432495071180451</v>
      </c>
      <c r="Z344">
        <f t="shared" si="34"/>
        <v>6</v>
      </c>
      <c r="AA344">
        <f t="shared" si="33"/>
        <v>17.570907500457466</v>
      </c>
      <c r="AB344">
        <f t="shared" si="32"/>
        <v>0.87105094411999118</v>
      </c>
    </row>
    <row r="345" spans="23:28" x14ac:dyDescent="0.3">
      <c r="W345">
        <f t="shared" si="31"/>
        <v>1.1433174204155976</v>
      </c>
      <c r="Z345">
        <f t="shared" si="34"/>
        <v>6</v>
      </c>
      <c r="AA345">
        <f t="shared" si="33"/>
        <v>17.570839587159913</v>
      </c>
      <c r="AB345">
        <f t="shared" si="32"/>
        <v>0.86539762083250626</v>
      </c>
    </row>
    <row r="346" spans="23:28" x14ac:dyDescent="0.3">
      <c r="W346">
        <f t="shared" si="31"/>
        <v>1.1434068781193563</v>
      </c>
      <c r="Z346">
        <f t="shared" si="34"/>
        <v>6</v>
      </c>
      <c r="AA346">
        <f t="shared" si="33"/>
        <v>17.570750129456155</v>
      </c>
      <c r="AB346">
        <f t="shared" si="32"/>
        <v>0.8591281939956712</v>
      </c>
    </row>
    <row r="347" spans="23:28" x14ac:dyDescent="0.3">
      <c r="W347">
        <f t="shared" si="31"/>
        <v>1.1435257729394583</v>
      </c>
      <c r="Z347">
        <f t="shared" si="34"/>
        <v>6</v>
      </c>
      <c r="AA347">
        <f t="shared" si="33"/>
        <v>17.570631234636053</v>
      </c>
      <c r="AB347">
        <f t="shared" si="32"/>
        <v>0.85216514411116695</v>
      </c>
    </row>
    <row r="348" spans="23:28" x14ac:dyDescent="0.3">
      <c r="W348">
        <f t="shared" si="31"/>
        <v>1.1436853116960297</v>
      </c>
      <c r="Z348">
        <f t="shared" si="34"/>
        <v>6</v>
      </c>
      <c r="AA348">
        <f t="shared" si="33"/>
        <v>17.570471695879483</v>
      </c>
      <c r="AB348">
        <f t="shared" si="32"/>
        <v>0.84441965326912749</v>
      </c>
    </row>
    <row r="349" spans="23:28" x14ac:dyDescent="0.3">
      <c r="W349">
        <f t="shared" si="31"/>
        <v>1.143901599497658</v>
      </c>
      <c r="Z349">
        <f t="shared" si="34"/>
        <v>6</v>
      </c>
      <c r="AA349">
        <f t="shared" si="33"/>
        <v>17.570255408077855</v>
      </c>
      <c r="AB349">
        <f t="shared" si="32"/>
        <v>0.8357897958054098</v>
      </c>
    </row>
    <row r="350" spans="23:28" x14ac:dyDescent="0.3">
      <c r="W350">
        <f t="shared" si="31"/>
        <v>1.1441980805681298</v>
      </c>
      <c r="Z350">
        <f t="shared" si="34"/>
        <v>6</v>
      </c>
      <c r="AA350">
        <f t="shared" si="33"/>
        <v>17.569958927007381</v>
      </c>
      <c r="AB350">
        <f t="shared" si="32"/>
        <v>0.82615847988380908</v>
      </c>
    </row>
    <row r="351" spans="23:28" x14ac:dyDescent="0.3">
      <c r="W351">
        <f t="shared" si="31"/>
        <v>1.1446093567063613</v>
      </c>
      <c r="Z351">
        <f t="shared" si="34"/>
        <v>6</v>
      </c>
      <c r="AA351">
        <f t="shared" si="33"/>
        <v>17.569547650869151</v>
      </c>
      <c r="AB351">
        <f t="shared" si="32"/>
        <v>0.8153911530387663</v>
      </c>
    </row>
    <row r="352" spans="23:28" x14ac:dyDescent="0.3">
      <c r="W352">
        <f t="shared" si="31"/>
        <v>1.1451872587163414</v>
      </c>
      <c r="Z352">
        <f t="shared" si="34"/>
        <v>6</v>
      </c>
      <c r="AA352">
        <f t="shared" si="33"/>
        <v>17.568969748859171</v>
      </c>
      <c r="AB352">
        <f t="shared" si="32"/>
        <v>0.80333332837909754</v>
      </c>
    </row>
    <row r="353" spans="23:28" x14ac:dyDescent="0.3">
      <c r="W353">
        <f t="shared" si="31"/>
        <v>1.1460106684293483</v>
      </c>
      <c r="Z353">
        <f t="shared" si="34"/>
        <v>6</v>
      </c>
      <c r="AA353">
        <f t="shared" si="33"/>
        <v>17.568146339146164</v>
      </c>
      <c r="AB353">
        <f t="shared" si="32"/>
        <v>0.78980806865897468</v>
      </c>
    </row>
    <row r="354" spans="23:28" x14ac:dyDescent="0.3">
      <c r="W354">
        <f t="shared" si="31"/>
        <v>1.1472017026793939</v>
      </c>
      <c r="Z354">
        <f t="shared" si="34"/>
        <v>6</v>
      </c>
      <c r="AA354">
        <f t="shared" si="33"/>
        <v>17.566955304896119</v>
      </c>
      <c r="AB354">
        <f t="shared" si="32"/>
        <v>0.77461508690290759</v>
      </c>
    </row>
    <row r="355" spans="23:28" x14ac:dyDescent="0.3">
      <c r="W355">
        <f t="shared" si="31"/>
        <v>1.14862563631224</v>
      </c>
      <c r="Z355">
        <f t="shared" si="34"/>
        <v>6</v>
      </c>
      <c r="AA355">
        <f t="shared" si="33"/>
        <v>17.565531371263273</v>
      </c>
      <c r="AB355">
        <f t="shared" si="32"/>
        <v>0.76038690457725777</v>
      </c>
    </row>
    <row r="356" spans="23:28" x14ac:dyDescent="0.3">
      <c r="W356">
        <f t="shared" si="31"/>
        <v>1.151267421042153</v>
      </c>
      <c r="Z356">
        <f t="shared" si="34"/>
        <v>6</v>
      </c>
      <c r="AA356">
        <f t="shared" si="33"/>
        <v>17.562889586533359</v>
      </c>
      <c r="AB356">
        <f t="shared" si="32"/>
        <v>0.74027333028292353</v>
      </c>
    </row>
    <row r="357" spans="23:28" x14ac:dyDescent="0.3">
      <c r="W357">
        <f t="shared" si="31"/>
        <v>1.1549787815758645</v>
      </c>
      <c r="Z357">
        <f t="shared" si="34"/>
        <v>6</v>
      </c>
      <c r="AA357">
        <f t="shared" si="33"/>
        <v>17.559178225999649</v>
      </c>
      <c r="AB357">
        <f t="shared" si="32"/>
        <v>0.71945185286861368</v>
      </c>
    </row>
    <row r="358" spans="23:28" x14ac:dyDescent="0.3">
      <c r="W358">
        <f t="shared" si="31"/>
        <v>1.1609627321979774</v>
      </c>
      <c r="Z358">
        <f t="shared" si="34"/>
        <v>6</v>
      </c>
      <c r="AA358">
        <f t="shared" si="33"/>
        <v>17.553194275377535</v>
      </c>
      <c r="AB358">
        <f t="shared" si="32"/>
        <v>0.69510299977692602</v>
      </c>
    </row>
    <row r="359" spans="23:28" x14ac:dyDescent="0.3">
      <c r="W359">
        <f t="shared" si="31"/>
        <v>1.1702952871421346</v>
      </c>
      <c r="Z359">
        <f t="shared" si="34"/>
        <v>6</v>
      </c>
      <c r="AA359">
        <f t="shared" si="33"/>
        <v>17.543861720433377</v>
      </c>
      <c r="AB359">
        <f t="shared" si="32"/>
        <v>0.66827742889075359</v>
      </c>
    </row>
    <row r="360" spans="23:28" x14ac:dyDescent="0.3">
      <c r="W360">
        <f t="shared" si="31"/>
        <v>1.1856465819804098</v>
      </c>
      <c r="Z360">
        <f t="shared" si="34"/>
        <v>6</v>
      </c>
      <c r="AA360">
        <f t="shared" si="33"/>
        <v>17.528510425595101</v>
      </c>
      <c r="AB360">
        <f t="shared" si="32"/>
        <v>0.63793671515432082</v>
      </c>
    </row>
    <row r="361" spans="23:28" x14ac:dyDescent="0.3">
      <c r="W361">
        <f t="shared" si="31"/>
        <v>1.211044209731627</v>
      </c>
      <c r="Z361">
        <f t="shared" si="34"/>
        <v>6</v>
      </c>
      <c r="AA361">
        <f t="shared" si="33"/>
        <v>17.503112797843883</v>
      </c>
      <c r="AB361">
        <f t="shared" si="32"/>
        <v>0.60451895949480172</v>
      </c>
    </row>
    <row r="362" spans="23:28" x14ac:dyDescent="0.3">
      <c r="W362">
        <f t="shared" si="31"/>
        <v>1.2547271862495781</v>
      </c>
      <c r="Z362">
        <f t="shared" si="34"/>
        <v>6</v>
      </c>
      <c r="AA362">
        <f t="shared" si="33"/>
        <v>17.459429821325934</v>
      </c>
      <c r="AB362">
        <f t="shared" si="32"/>
        <v>0.56764407327826527</v>
      </c>
    </row>
    <row r="363" spans="23:28" x14ac:dyDescent="0.3">
      <c r="W363">
        <f t="shared" si="31"/>
        <v>1.3307024787234873</v>
      </c>
      <c r="Z363">
        <f t="shared" si="34"/>
        <v>6</v>
      </c>
      <c r="AA363">
        <f t="shared" si="33"/>
        <v>17.383454528852024</v>
      </c>
      <c r="AB363">
        <f t="shared" si="32"/>
        <v>0.52819919103708846</v>
      </c>
    </row>
    <row r="364" spans="23:28" x14ac:dyDescent="0.3">
      <c r="W364">
        <f t="shared" si="31"/>
        <v>1.4677546166840529</v>
      </c>
      <c r="Z364">
        <f t="shared" si="34"/>
        <v>6</v>
      </c>
      <c r="AA364">
        <f t="shared" si="33"/>
        <v>17.246402390891458</v>
      </c>
      <c r="AB364">
        <f t="shared" si="32"/>
        <v>0.48656332837244431</v>
      </c>
    </row>
    <row r="365" spans="23:28" x14ac:dyDescent="0.3">
      <c r="W365">
        <f t="shared" ref="W365:W428" si="35">W313</f>
        <v>1.7155867526768451</v>
      </c>
      <c r="Z365">
        <f t="shared" si="34"/>
        <v>6</v>
      </c>
      <c r="AA365">
        <f t="shared" ref="AA365:AA428" si="36">$AA$55-(Z365-1)*$X$51-W365</f>
        <v>16.998570254898667</v>
      </c>
      <c r="AB365">
        <f t="shared" ref="AB365:AB428" si="37">AB313</f>
        <v>0.44490630075061705</v>
      </c>
    </row>
    <row r="366" spans="23:28" x14ac:dyDescent="0.3">
      <c r="W366">
        <f t="shared" si="35"/>
        <v>2.1861296462312865</v>
      </c>
      <c r="Z366">
        <f t="shared" si="34"/>
        <v>6</v>
      </c>
      <c r="AA366">
        <f t="shared" si="36"/>
        <v>16.528027361344225</v>
      </c>
      <c r="AB366">
        <f t="shared" si="37"/>
        <v>0.40422770455153728</v>
      </c>
    </row>
    <row r="367" spans="23:28" x14ac:dyDescent="0.3">
      <c r="W367">
        <f t="shared" si="35"/>
        <v>2.2783011649994576</v>
      </c>
      <c r="Z367">
        <f t="shared" si="34"/>
        <v>6</v>
      </c>
      <c r="AA367">
        <f t="shared" si="36"/>
        <v>16.435855842576053</v>
      </c>
      <c r="AB367">
        <f t="shared" si="37"/>
        <v>0.3988654244970895</v>
      </c>
    </row>
    <row r="368" spans="23:28" x14ac:dyDescent="0.3">
      <c r="W368">
        <f t="shared" si="35"/>
        <v>0</v>
      </c>
      <c r="Z368">
        <f>Z316+1</f>
        <v>7</v>
      </c>
      <c r="AA368">
        <f t="shared" si="36"/>
        <v>16.435855842576053</v>
      </c>
      <c r="AB368">
        <f t="shared" si="37"/>
        <v>0.98291280402450532</v>
      </c>
    </row>
    <row r="369" spans="23:28" x14ac:dyDescent="0.3">
      <c r="W369">
        <f t="shared" si="35"/>
        <v>1.1429999999999998</v>
      </c>
      <c r="Z369">
        <f t="shared" ref="Z369:Z419" si="38">Z317+1</f>
        <v>7</v>
      </c>
      <c r="AA369">
        <f t="shared" si="36"/>
        <v>15.292855842576053</v>
      </c>
      <c r="AB369">
        <f t="shared" si="37"/>
        <v>0.98291280402450532</v>
      </c>
    </row>
    <row r="370" spans="23:28" x14ac:dyDescent="0.3">
      <c r="W370">
        <f t="shared" si="35"/>
        <v>1.1429999999999998</v>
      </c>
      <c r="Z370">
        <f t="shared" si="38"/>
        <v>7</v>
      </c>
      <c r="AA370">
        <f t="shared" si="36"/>
        <v>15.292855842576053</v>
      </c>
      <c r="AB370">
        <f t="shared" si="37"/>
        <v>0.93029680368287238</v>
      </c>
    </row>
    <row r="371" spans="23:28" x14ac:dyDescent="0.3">
      <c r="W371">
        <f t="shared" si="35"/>
        <v>1.1430009999999997</v>
      </c>
      <c r="Z371">
        <f t="shared" si="38"/>
        <v>7</v>
      </c>
      <c r="AA371">
        <f t="shared" si="36"/>
        <v>15.292854842576054</v>
      </c>
      <c r="AB371">
        <f t="shared" si="37"/>
        <v>0.9263375056609463</v>
      </c>
    </row>
    <row r="372" spans="23:28" x14ac:dyDescent="0.3">
      <c r="W372">
        <f t="shared" si="35"/>
        <v>1.1430019999999999</v>
      </c>
      <c r="Z372">
        <f t="shared" si="38"/>
        <v>7</v>
      </c>
      <c r="AA372">
        <f t="shared" si="36"/>
        <v>15.292853842576054</v>
      </c>
      <c r="AB372">
        <f t="shared" si="37"/>
        <v>0.92410350289481191</v>
      </c>
    </row>
    <row r="373" spans="23:28" x14ac:dyDescent="0.3">
      <c r="W373">
        <f t="shared" si="35"/>
        <v>1.1430029999999998</v>
      </c>
      <c r="Z373">
        <f t="shared" si="38"/>
        <v>7</v>
      </c>
      <c r="AA373">
        <f t="shared" si="36"/>
        <v>15.292852842576053</v>
      </c>
      <c r="AB373">
        <f t="shared" si="37"/>
        <v>0.92246702056568797</v>
      </c>
    </row>
    <row r="374" spans="23:28" x14ac:dyDescent="0.3">
      <c r="W374">
        <f t="shared" si="35"/>
        <v>1.1430039999999997</v>
      </c>
      <c r="Z374">
        <f t="shared" si="38"/>
        <v>7</v>
      </c>
      <c r="AA374">
        <f t="shared" si="36"/>
        <v>15.292851842576054</v>
      </c>
      <c r="AB374">
        <f t="shared" si="37"/>
        <v>0.92112545075286889</v>
      </c>
    </row>
    <row r="375" spans="23:28" x14ac:dyDescent="0.3">
      <c r="W375">
        <f t="shared" si="35"/>
        <v>1.1430049999999998</v>
      </c>
      <c r="Z375">
        <f t="shared" si="38"/>
        <v>7</v>
      </c>
      <c r="AA375">
        <f t="shared" si="36"/>
        <v>15.292850842576053</v>
      </c>
      <c r="AB375">
        <f t="shared" si="37"/>
        <v>0.91996796940552472</v>
      </c>
    </row>
    <row r="376" spans="23:28" x14ac:dyDescent="0.3">
      <c r="W376">
        <f t="shared" si="35"/>
        <v>1.1430059999999997</v>
      </c>
      <c r="Z376">
        <f t="shared" si="38"/>
        <v>7</v>
      </c>
      <c r="AA376">
        <f t="shared" si="36"/>
        <v>15.292849842576054</v>
      </c>
      <c r="AB376">
        <f t="shared" si="37"/>
        <v>0.91893925200966098</v>
      </c>
    </row>
    <row r="377" spans="23:28" x14ac:dyDescent="0.3">
      <c r="W377">
        <f t="shared" si="35"/>
        <v>1.1430069999999999</v>
      </c>
      <c r="Z377">
        <f t="shared" si="38"/>
        <v>7</v>
      </c>
      <c r="AA377">
        <f t="shared" si="36"/>
        <v>15.292848842576053</v>
      </c>
      <c r="AB377">
        <f t="shared" si="37"/>
        <v>0.91800698533963754</v>
      </c>
    </row>
    <row r="378" spans="23:28" x14ac:dyDescent="0.3">
      <c r="W378">
        <f t="shared" si="35"/>
        <v>1.1430081501326101</v>
      </c>
      <c r="Z378">
        <f t="shared" si="38"/>
        <v>7</v>
      </c>
      <c r="AA378">
        <f t="shared" si="36"/>
        <v>15.292847692443443</v>
      </c>
      <c r="AB378">
        <f t="shared" si="37"/>
        <v>0.91702734816235443</v>
      </c>
    </row>
    <row r="379" spans="23:28" x14ac:dyDescent="0.3">
      <c r="W379">
        <f t="shared" si="35"/>
        <v>1.1430095249244923</v>
      </c>
      <c r="Z379">
        <f t="shared" si="38"/>
        <v>7</v>
      </c>
      <c r="AA379">
        <f t="shared" si="36"/>
        <v>15.292846317651561</v>
      </c>
      <c r="AB379">
        <f t="shared" si="37"/>
        <v>0.9159585801938982</v>
      </c>
    </row>
    <row r="380" spans="23:28" x14ac:dyDescent="0.3">
      <c r="W380">
        <f t="shared" si="35"/>
        <v>1.1430111673040606</v>
      </c>
      <c r="Z380">
        <f t="shared" si="38"/>
        <v>7</v>
      </c>
      <c r="AA380">
        <f t="shared" si="36"/>
        <v>15.292844675271994</v>
      </c>
      <c r="AB380">
        <f t="shared" si="37"/>
        <v>0.91479625559011313</v>
      </c>
    </row>
    <row r="381" spans="23:28" x14ac:dyDescent="0.3">
      <c r="W381">
        <f t="shared" si="35"/>
        <v>1.1430131370239121</v>
      </c>
      <c r="Z381">
        <f t="shared" si="38"/>
        <v>7</v>
      </c>
      <c r="AA381">
        <f t="shared" si="36"/>
        <v>15.292842705552141</v>
      </c>
      <c r="AB381">
        <f t="shared" si="37"/>
        <v>0.91353048339815646</v>
      </c>
    </row>
    <row r="382" spans="23:28" x14ac:dyDescent="0.3">
      <c r="W382">
        <f t="shared" si="35"/>
        <v>1.1430155077632504</v>
      </c>
      <c r="Z382">
        <f t="shared" si="38"/>
        <v>7</v>
      </c>
      <c r="AA382">
        <f t="shared" si="36"/>
        <v>15.292840334812803</v>
      </c>
      <c r="AB382">
        <f t="shared" si="37"/>
        <v>0.91215088532597044</v>
      </c>
    </row>
    <row r="383" spans="23:28" x14ac:dyDescent="0.3">
      <c r="W383">
        <f t="shared" si="35"/>
        <v>1.1430183719688318</v>
      </c>
      <c r="Z383">
        <f t="shared" si="38"/>
        <v>7</v>
      </c>
      <c r="AA383">
        <f t="shared" si="36"/>
        <v>15.292837470607221</v>
      </c>
      <c r="AB383">
        <f t="shared" si="37"/>
        <v>0.91064585001688003</v>
      </c>
    </row>
    <row r="384" spans="23:28" x14ac:dyDescent="0.3">
      <c r="W384">
        <f t="shared" si="35"/>
        <v>1.1430218460191757</v>
      </c>
      <c r="Z384">
        <f t="shared" si="38"/>
        <v>7</v>
      </c>
      <c r="AA384">
        <f t="shared" si="36"/>
        <v>15.292833996556878</v>
      </c>
      <c r="AB384">
        <f t="shared" si="37"/>
        <v>0.90900246739993606</v>
      </c>
    </row>
    <row r="385" spans="23:28" x14ac:dyDescent="0.3">
      <c r="W385">
        <f t="shared" si="35"/>
        <v>1.1430260771680438</v>
      </c>
      <c r="Z385">
        <f t="shared" si="38"/>
        <v>7</v>
      </c>
      <c r="AA385">
        <f t="shared" si="36"/>
        <v>15.29282976540801</v>
      </c>
      <c r="AB385">
        <f t="shared" si="37"/>
        <v>0.90720635607175415</v>
      </c>
    </row>
    <row r="386" spans="23:28" x14ac:dyDescent="0.3">
      <c r="W386">
        <f t="shared" si="35"/>
        <v>1.1430312526971509</v>
      </c>
      <c r="Z386">
        <f t="shared" si="38"/>
        <v>7</v>
      </c>
      <c r="AA386">
        <f t="shared" si="36"/>
        <v>15.292824589878903</v>
      </c>
      <c r="AB386">
        <f t="shared" si="37"/>
        <v>0.90524147856173309</v>
      </c>
    </row>
    <row r="387" spans="23:28" x14ac:dyDescent="0.3">
      <c r="W387">
        <f t="shared" si="35"/>
        <v>1.1430376120900665</v>
      </c>
      <c r="Z387">
        <f t="shared" si="38"/>
        <v>7</v>
      </c>
      <c r="AA387">
        <f t="shared" si="36"/>
        <v>15.292818230485986</v>
      </c>
      <c r="AB387">
        <f t="shared" si="37"/>
        <v>0.90308992791247966</v>
      </c>
    </row>
    <row r="388" spans="23:28" x14ac:dyDescent="0.3">
      <c r="W388">
        <f t="shared" si="35"/>
        <v>1.1430454633263125</v>
      </c>
      <c r="Z388">
        <f t="shared" si="38"/>
        <v>7</v>
      </c>
      <c r="AA388">
        <f t="shared" si="36"/>
        <v>15.29281037924974</v>
      </c>
      <c r="AB388">
        <f t="shared" si="37"/>
        <v>0.90073168239924084</v>
      </c>
    </row>
    <row r="389" spans="23:28" x14ac:dyDescent="0.3">
      <c r="W389">
        <f t="shared" si="35"/>
        <v>1.1430552048418579</v>
      </c>
      <c r="Z389">
        <f t="shared" si="38"/>
        <v>7</v>
      </c>
      <c r="AA389">
        <f t="shared" si="36"/>
        <v>15.292800637734196</v>
      </c>
      <c r="AB389">
        <f t="shared" si="37"/>
        <v>0.89814432232808461</v>
      </c>
    </row>
    <row r="390" spans="23:28" x14ac:dyDescent="0.3">
      <c r="W390">
        <f t="shared" si="35"/>
        <v>1.1430673553416779</v>
      </c>
      <c r="Z390">
        <f t="shared" si="38"/>
        <v>7</v>
      </c>
      <c r="AA390">
        <f t="shared" si="36"/>
        <v>15.292788487234375</v>
      </c>
      <c r="AB390">
        <f t="shared" si="37"/>
        <v>0.89530270197348261</v>
      </c>
    </row>
    <row r="391" spans="23:28" x14ac:dyDescent="0.3">
      <c r="W391">
        <f t="shared" si="35"/>
        <v>1.1430825945820569</v>
      </c>
      <c r="Z391">
        <f t="shared" si="38"/>
        <v>7</v>
      </c>
      <c r="AA391">
        <f t="shared" si="36"/>
        <v>15.292773247993997</v>
      </c>
      <c r="AB391">
        <f t="shared" si="37"/>
        <v>0.89217856822269714</v>
      </c>
    </row>
    <row r="392" spans="23:28" x14ac:dyDescent="0.3">
      <c r="W392">
        <f t="shared" si="35"/>
        <v>1.1431018196091138</v>
      </c>
      <c r="Z392">
        <f t="shared" si="38"/>
        <v>7</v>
      </c>
      <c r="AA392">
        <f t="shared" si="36"/>
        <v>15.292754022966939</v>
      </c>
      <c r="AB392">
        <f t="shared" si="37"/>
        <v>0.88874011591112845</v>
      </c>
    </row>
    <row r="393" spans="23:28" x14ac:dyDescent="0.3">
      <c r="W393">
        <f t="shared" si="35"/>
        <v>1.1431262229715509</v>
      </c>
      <c r="Z393">
        <f t="shared" si="38"/>
        <v>7</v>
      </c>
      <c r="AA393">
        <f t="shared" si="36"/>
        <v>15.292729619604502</v>
      </c>
      <c r="AB393">
        <f t="shared" si="37"/>
        <v>0.88495146788830703</v>
      </c>
    </row>
    <row r="394" spans="23:28" x14ac:dyDescent="0.3">
      <c r="W394">
        <f t="shared" si="35"/>
        <v>1.1431574024708098</v>
      </c>
      <c r="Z394">
        <f t="shared" si="38"/>
        <v>7</v>
      </c>
      <c r="AA394">
        <f t="shared" si="36"/>
        <v>15.292698440105244</v>
      </c>
      <c r="AB394">
        <f t="shared" si="37"/>
        <v>0.88077206574924116</v>
      </c>
    </row>
    <row r="395" spans="23:28" x14ac:dyDescent="0.3">
      <c r="W395">
        <f t="shared" si="35"/>
        <v>1.1431975166274602</v>
      </c>
      <c r="Z395">
        <f t="shared" si="38"/>
        <v>7</v>
      </c>
      <c r="AA395">
        <f t="shared" si="36"/>
        <v>15.292658325948594</v>
      </c>
      <c r="AB395">
        <f t="shared" si="37"/>
        <v>0.87615595477184927</v>
      </c>
    </row>
    <row r="396" spans="23:28" x14ac:dyDescent="0.3">
      <c r="W396">
        <f t="shared" si="35"/>
        <v>1.1432495071180451</v>
      </c>
      <c r="Z396">
        <f t="shared" si="38"/>
        <v>7</v>
      </c>
      <c r="AA396">
        <f t="shared" si="36"/>
        <v>15.292606335458009</v>
      </c>
      <c r="AB396">
        <f t="shared" si="37"/>
        <v>0.87105094411999118</v>
      </c>
    </row>
    <row r="397" spans="23:28" x14ac:dyDescent="0.3">
      <c r="W397">
        <f t="shared" si="35"/>
        <v>1.1433174204155976</v>
      </c>
      <c r="Z397">
        <f t="shared" si="38"/>
        <v>7</v>
      </c>
      <c r="AA397">
        <f t="shared" si="36"/>
        <v>15.292538422160456</v>
      </c>
      <c r="AB397">
        <f t="shared" si="37"/>
        <v>0.86539762083250626</v>
      </c>
    </row>
    <row r="398" spans="23:28" x14ac:dyDescent="0.3">
      <c r="W398">
        <f t="shared" si="35"/>
        <v>1.1434068781193563</v>
      </c>
      <c r="Z398">
        <f t="shared" si="38"/>
        <v>7</v>
      </c>
      <c r="AA398">
        <f t="shared" si="36"/>
        <v>15.292448964456698</v>
      </c>
      <c r="AB398">
        <f t="shared" si="37"/>
        <v>0.8591281939956712</v>
      </c>
    </row>
    <row r="399" spans="23:28" x14ac:dyDescent="0.3">
      <c r="W399">
        <f t="shared" si="35"/>
        <v>1.1435257729394583</v>
      </c>
      <c r="Z399">
        <f t="shared" si="38"/>
        <v>7</v>
      </c>
      <c r="AA399">
        <f t="shared" si="36"/>
        <v>15.292330069636595</v>
      </c>
      <c r="AB399">
        <f t="shared" si="37"/>
        <v>0.85216514411116695</v>
      </c>
    </row>
    <row r="400" spans="23:28" x14ac:dyDescent="0.3">
      <c r="W400">
        <f t="shared" si="35"/>
        <v>1.1436853116960297</v>
      </c>
      <c r="Z400">
        <f t="shared" si="38"/>
        <v>7</v>
      </c>
      <c r="AA400">
        <f t="shared" si="36"/>
        <v>15.292170530880023</v>
      </c>
      <c r="AB400">
        <f t="shared" si="37"/>
        <v>0.84441965326912749</v>
      </c>
    </row>
    <row r="401" spans="23:28" x14ac:dyDescent="0.3">
      <c r="W401">
        <f t="shared" si="35"/>
        <v>1.143901599497658</v>
      </c>
      <c r="Z401">
        <f t="shared" si="38"/>
        <v>7</v>
      </c>
      <c r="AA401">
        <f t="shared" si="36"/>
        <v>15.291954243078395</v>
      </c>
      <c r="AB401">
        <f t="shared" si="37"/>
        <v>0.8357897958054098</v>
      </c>
    </row>
    <row r="402" spans="23:28" x14ac:dyDescent="0.3">
      <c r="W402">
        <f t="shared" si="35"/>
        <v>1.1441980805681298</v>
      </c>
      <c r="Z402">
        <f t="shared" si="38"/>
        <v>7</v>
      </c>
      <c r="AA402">
        <f t="shared" si="36"/>
        <v>15.291657762007924</v>
      </c>
      <c r="AB402">
        <f t="shared" si="37"/>
        <v>0.82615847988380908</v>
      </c>
    </row>
    <row r="403" spans="23:28" x14ac:dyDescent="0.3">
      <c r="W403">
        <f t="shared" si="35"/>
        <v>1.1446093567063613</v>
      </c>
      <c r="Z403">
        <f t="shared" si="38"/>
        <v>7</v>
      </c>
      <c r="AA403">
        <f t="shared" si="36"/>
        <v>15.291246485869692</v>
      </c>
      <c r="AB403">
        <f t="shared" si="37"/>
        <v>0.8153911530387663</v>
      </c>
    </row>
    <row r="404" spans="23:28" x14ac:dyDescent="0.3">
      <c r="W404">
        <f t="shared" si="35"/>
        <v>1.1451872587163414</v>
      </c>
      <c r="Z404">
        <f t="shared" si="38"/>
        <v>7</v>
      </c>
      <c r="AA404">
        <f t="shared" si="36"/>
        <v>15.290668583859713</v>
      </c>
      <c r="AB404">
        <f t="shared" si="37"/>
        <v>0.80333332837909754</v>
      </c>
    </row>
    <row r="405" spans="23:28" x14ac:dyDescent="0.3">
      <c r="W405">
        <f t="shared" si="35"/>
        <v>1.1460106684293483</v>
      </c>
      <c r="Z405">
        <f t="shared" si="38"/>
        <v>7</v>
      </c>
      <c r="AA405">
        <f t="shared" si="36"/>
        <v>15.289845174146706</v>
      </c>
      <c r="AB405">
        <f t="shared" si="37"/>
        <v>0.78980806865897468</v>
      </c>
    </row>
    <row r="406" spans="23:28" x14ac:dyDescent="0.3">
      <c r="W406">
        <f t="shared" si="35"/>
        <v>1.1472017026793939</v>
      </c>
      <c r="Z406">
        <f t="shared" si="38"/>
        <v>7</v>
      </c>
      <c r="AA406">
        <f t="shared" si="36"/>
        <v>15.288654139896659</v>
      </c>
      <c r="AB406">
        <f t="shared" si="37"/>
        <v>0.77461508690290759</v>
      </c>
    </row>
    <row r="407" spans="23:28" x14ac:dyDescent="0.3">
      <c r="W407">
        <f t="shared" si="35"/>
        <v>1.14862563631224</v>
      </c>
      <c r="Z407">
        <f t="shared" si="38"/>
        <v>7</v>
      </c>
      <c r="AA407">
        <f t="shared" si="36"/>
        <v>15.287230206263814</v>
      </c>
      <c r="AB407">
        <f t="shared" si="37"/>
        <v>0.76038690457725777</v>
      </c>
    </row>
    <row r="408" spans="23:28" x14ac:dyDescent="0.3">
      <c r="W408">
        <f t="shared" si="35"/>
        <v>1.151267421042153</v>
      </c>
      <c r="Z408">
        <f t="shared" si="38"/>
        <v>7</v>
      </c>
      <c r="AA408">
        <f t="shared" si="36"/>
        <v>15.284588421533901</v>
      </c>
      <c r="AB408">
        <f t="shared" si="37"/>
        <v>0.74027333028292353</v>
      </c>
    </row>
    <row r="409" spans="23:28" x14ac:dyDescent="0.3">
      <c r="W409">
        <f t="shared" si="35"/>
        <v>1.1549787815758645</v>
      </c>
      <c r="Z409">
        <f t="shared" si="38"/>
        <v>7</v>
      </c>
      <c r="AA409">
        <f t="shared" si="36"/>
        <v>15.280877061000188</v>
      </c>
      <c r="AB409">
        <f t="shared" si="37"/>
        <v>0.71945185286861368</v>
      </c>
    </row>
    <row r="410" spans="23:28" x14ac:dyDescent="0.3">
      <c r="W410">
        <f t="shared" si="35"/>
        <v>1.1609627321979774</v>
      </c>
      <c r="Z410">
        <f t="shared" si="38"/>
        <v>7</v>
      </c>
      <c r="AA410">
        <f t="shared" si="36"/>
        <v>15.274893110378077</v>
      </c>
      <c r="AB410">
        <f t="shared" si="37"/>
        <v>0.69510299977692602</v>
      </c>
    </row>
    <row r="411" spans="23:28" x14ac:dyDescent="0.3">
      <c r="W411">
        <f t="shared" si="35"/>
        <v>1.1702952871421346</v>
      </c>
      <c r="Z411">
        <f t="shared" si="38"/>
        <v>7</v>
      </c>
      <c r="AA411">
        <f t="shared" si="36"/>
        <v>15.265560555433918</v>
      </c>
      <c r="AB411">
        <f t="shared" si="37"/>
        <v>0.66827742889075359</v>
      </c>
    </row>
    <row r="412" spans="23:28" x14ac:dyDescent="0.3">
      <c r="W412">
        <f t="shared" si="35"/>
        <v>1.1856465819804098</v>
      </c>
      <c r="Z412">
        <f t="shared" si="38"/>
        <v>7</v>
      </c>
      <c r="AA412">
        <f t="shared" si="36"/>
        <v>15.250209260595643</v>
      </c>
      <c r="AB412">
        <f t="shared" si="37"/>
        <v>0.63793671515432082</v>
      </c>
    </row>
    <row r="413" spans="23:28" x14ac:dyDescent="0.3">
      <c r="W413">
        <f t="shared" si="35"/>
        <v>1.211044209731627</v>
      </c>
      <c r="Z413">
        <f t="shared" si="38"/>
        <v>7</v>
      </c>
      <c r="AA413">
        <f t="shared" si="36"/>
        <v>15.224811632844427</v>
      </c>
      <c r="AB413">
        <f t="shared" si="37"/>
        <v>0.60451895949480172</v>
      </c>
    </row>
    <row r="414" spans="23:28" x14ac:dyDescent="0.3">
      <c r="W414">
        <f t="shared" si="35"/>
        <v>1.2547271862495781</v>
      </c>
      <c r="Z414">
        <f t="shared" si="38"/>
        <v>7</v>
      </c>
      <c r="AA414">
        <f t="shared" si="36"/>
        <v>15.181128656326475</v>
      </c>
      <c r="AB414">
        <f t="shared" si="37"/>
        <v>0.56764407327826527</v>
      </c>
    </row>
    <row r="415" spans="23:28" x14ac:dyDescent="0.3">
      <c r="W415">
        <f t="shared" si="35"/>
        <v>1.3307024787234873</v>
      </c>
      <c r="Z415">
        <f t="shared" si="38"/>
        <v>7</v>
      </c>
      <c r="AA415">
        <f t="shared" si="36"/>
        <v>15.105153363852565</v>
      </c>
      <c r="AB415">
        <f t="shared" si="37"/>
        <v>0.52819919103708846</v>
      </c>
    </row>
    <row r="416" spans="23:28" x14ac:dyDescent="0.3">
      <c r="W416">
        <f t="shared" si="35"/>
        <v>1.4677546166840529</v>
      </c>
      <c r="Z416">
        <f t="shared" si="38"/>
        <v>7</v>
      </c>
      <c r="AA416">
        <f t="shared" si="36"/>
        <v>14.968101225892001</v>
      </c>
      <c r="AB416">
        <f t="shared" si="37"/>
        <v>0.48656332837244431</v>
      </c>
    </row>
    <row r="417" spans="23:28" x14ac:dyDescent="0.3">
      <c r="W417">
        <f t="shared" si="35"/>
        <v>1.7155867526768451</v>
      </c>
      <c r="Z417">
        <f t="shared" si="38"/>
        <v>7</v>
      </c>
      <c r="AA417">
        <f t="shared" si="36"/>
        <v>14.720269089899208</v>
      </c>
      <c r="AB417">
        <f t="shared" si="37"/>
        <v>0.44490630075061705</v>
      </c>
    </row>
    <row r="418" spans="23:28" x14ac:dyDescent="0.3">
      <c r="W418">
        <f t="shared" si="35"/>
        <v>2.1861296462312865</v>
      </c>
      <c r="Z418">
        <f t="shared" si="38"/>
        <v>7</v>
      </c>
      <c r="AA418">
        <f t="shared" si="36"/>
        <v>14.249726196344767</v>
      </c>
      <c r="AB418">
        <f t="shared" si="37"/>
        <v>0.40422770455153728</v>
      </c>
    </row>
    <row r="419" spans="23:28" x14ac:dyDescent="0.3">
      <c r="W419">
        <f t="shared" si="35"/>
        <v>2.2783011649994576</v>
      </c>
      <c r="Z419">
        <f t="shared" si="38"/>
        <v>7</v>
      </c>
      <c r="AA419">
        <f t="shared" si="36"/>
        <v>14.157554677576595</v>
      </c>
      <c r="AB419">
        <f t="shared" si="37"/>
        <v>0.3988654244970895</v>
      </c>
    </row>
    <row r="420" spans="23:28" x14ac:dyDescent="0.3">
      <c r="W420">
        <f t="shared" si="35"/>
        <v>0</v>
      </c>
      <c r="Z420">
        <f>Z368+1</f>
        <v>8</v>
      </c>
      <c r="AA420">
        <f t="shared" si="36"/>
        <v>14.157554677576599</v>
      </c>
      <c r="AB420">
        <f t="shared" si="37"/>
        <v>0.98291280402450532</v>
      </c>
    </row>
    <row r="421" spans="23:28" x14ac:dyDescent="0.3">
      <c r="W421">
        <f t="shared" si="35"/>
        <v>1.1429999999999998</v>
      </c>
      <c r="Z421">
        <f t="shared" ref="Z421:Z471" si="39">Z369+1</f>
        <v>8</v>
      </c>
      <c r="AA421">
        <f t="shared" si="36"/>
        <v>13.014554677576598</v>
      </c>
      <c r="AB421">
        <f t="shared" si="37"/>
        <v>0.98291280402450532</v>
      </c>
    </row>
    <row r="422" spans="23:28" x14ac:dyDescent="0.3">
      <c r="W422">
        <f t="shared" si="35"/>
        <v>1.1429999999999998</v>
      </c>
      <c r="Z422">
        <f t="shared" si="39"/>
        <v>8</v>
      </c>
      <c r="AA422">
        <f t="shared" si="36"/>
        <v>13.014554677576598</v>
      </c>
      <c r="AB422">
        <f t="shared" si="37"/>
        <v>0.93029680368287238</v>
      </c>
    </row>
    <row r="423" spans="23:28" x14ac:dyDescent="0.3">
      <c r="W423">
        <f t="shared" si="35"/>
        <v>1.1430009999999997</v>
      </c>
      <c r="Z423">
        <f t="shared" si="39"/>
        <v>8</v>
      </c>
      <c r="AA423">
        <f t="shared" si="36"/>
        <v>13.014553677576599</v>
      </c>
      <c r="AB423">
        <f t="shared" si="37"/>
        <v>0.9263375056609463</v>
      </c>
    </row>
    <row r="424" spans="23:28" x14ac:dyDescent="0.3">
      <c r="W424">
        <f t="shared" si="35"/>
        <v>1.1430019999999999</v>
      </c>
      <c r="Z424">
        <f t="shared" si="39"/>
        <v>8</v>
      </c>
      <c r="AA424">
        <f t="shared" si="36"/>
        <v>13.014552677576599</v>
      </c>
      <c r="AB424">
        <f t="shared" si="37"/>
        <v>0.92410350289481191</v>
      </c>
    </row>
    <row r="425" spans="23:28" x14ac:dyDescent="0.3">
      <c r="W425">
        <f t="shared" si="35"/>
        <v>1.1430029999999998</v>
      </c>
      <c r="Z425">
        <f t="shared" si="39"/>
        <v>8</v>
      </c>
      <c r="AA425">
        <f t="shared" si="36"/>
        <v>13.014551677576598</v>
      </c>
      <c r="AB425">
        <f t="shared" si="37"/>
        <v>0.92246702056568797</v>
      </c>
    </row>
    <row r="426" spans="23:28" x14ac:dyDescent="0.3">
      <c r="W426">
        <f t="shared" si="35"/>
        <v>1.1430039999999997</v>
      </c>
      <c r="Z426">
        <f t="shared" si="39"/>
        <v>8</v>
      </c>
      <c r="AA426">
        <f t="shared" si="36"/>
        <v>13.014550677576599</v>
      </c>
      <c r="AB426">
        <f t="shared" si="37"/>
        <v>0.92112545075286889</v>
      </c>
    </row>
    <row r="427" spans="23:28" x14ac:dyDescent="0.3">
      <c r="W427">
        <f t="shared" si="35"/>
        <v>1.1430049999999998</v>
      </c>
      <c r="Z427">
        <f t="shared" si="39"/>
        <v>8</v>
      </c>
      <c r="AA427">
        <f t="shared" si="36"/>
        <v>13.014549677576598</v>
      </c>
      <c r="AB427">
        <f t="shared" si="37"/>
        <v>0.91996796940552472</v>
      </c>
    </row>
    <row r="428" spans="23:28" x14ac:dyDescent="0.3">
      <c r="W428">
        <f t="shared" si="35"/>
        <v>1.1430059999999997</v>
      </c>
      <c r="Z428">
        <f t="shared" si="39"/>
        <v>8</v>
      </c>
      <c r="AA428">
        <f t="shared" si="36"/>
        <v>13.014548677576599</v>
      </c>
      <c r="AB428">
        <f t="shared" si="37"/>
        <v>0.91893925200966098</v>
      </c>
    </row>
    <row r="429" spans="23:28" x14ac:dyDescent="0.3">
      <c r="W429">
        <f t="shared" ref="W429:W492" si="40">W377</f>
        <v>1.1430069999999999</v>
      </c>
      <c r="Z429">
        <f t="shared" si="39"/>
        <v>8</v>
      </c>
      <c r="AA429">
        <f t="shared" ref="AA429:AA492" si="41">$AA$55-(Z429-1)*$X$51-W429</f>
        <v>13.014547677576598</v>
      </c>
      <c r="AB429">
        <f t="shared" ref="AB429:AB492" si="42">AB377</f>
        <v>0.91800698533963754</v>
      </c>
    </row>
    <row r="430" spans="23:28" x14ac:dyDescent="0.3">
      <c r="W430">
        <f t="shared" si="40"/>
        <v>1.1430081501326101</v>
      </c>
      <c r="Z430">
        <f t="shared" si="39"/>
        <v>8</v>
      </c>
      <c r="AA430">
        <f t="shared" si="41"/>
        <v>13.014546527443988</v>
      </c>
      <c r="AB430">
        <f t="shared" si="42"/>
        <v>0.91702734816235443</v>
      </c>
    </row>
    <row r="431" spans="23:28" x14ac:dyDescent="0.3">
      <c r="W431">
        <f t="shared" si="40"/>
        <v>1.1430095249244923</v>
      </c>
      <c r="Z431">
        <f t="shared" si="39"/>
        <v>8</v>
      </c>
      <c r="AA431">
        <f t="shared" si="41"/>
        <v>13.014545152652106</v>
      </c>
      <c r="AB431">
        <f t="shared" si="42"/>
        <v>0.9159585801938982</v>
      </c>
    </row>
    <row r="432" spans="23:28" x14ac:dyDescent="0.3">
      <c r="W432">
        <f t="shared" si="40"/>
        <v>1.1430111673040606</v>
      </c>
      <c r="Z432">
        <f t="shared" si="39"/>
        <v>8</v>
      </c>
      <c r="AA432">
        <f t="shared" si="41"/>
        <v>13.014543510272539</v>
      </c>
      <c r="AB432">
        <f t="shared" si="42"/>
        <v>0.91479625559011313</v>
      </c>
    </row>
    <row r="433" spans="23:28" x14ac:dyDescent="0.3">
      <c r="W433">
        <f t="shared" si="40"/>
        <v>1.1430131370239121</v>
      </c>
      <c r="Z433">
        <f t="shared" si="39"/>
        <v>8</v>
      </c>
      <c r="AA433">
        <f t="shared" si="41"/>
        <v>13.014541540552687</v>
      </c>
      <c r="AB433">
        <f t="shared" si="42"/>
        <v>0.91353048339815646</v>
      </c>
    </row>
    <row r="434" spans="23:28" x14ac:dyDescent="0.3">
      <c r="W434">
        <f t="shared" si="40"/>
        <v>1.1430155077632504</v>
      </c>
      <c r="Z434">
        <f t="shared" si="39"/>
        <v>8</v>
      </c>
      <c r="AA434">
        <f t="shared" si="41"/>
        <v>13.014539169813348</v>
      </c>
      <c r="AB434">
        <f t="shared" si="42"/>
        <v>0.91215088532597044</v>
      </c>
    </row>
    <row r="435" spans="23:28" x14ac:dyDescent="0.3">
      <c r="W435">
        <f t="shared" si="40"/>
        <v>1.1430183719688318</v>
      </c>
      <c r="Z435">
        <f t="shared" si="39"/>
        <v>8</v>
      </c>
      <c r="AA435">
        <f t="shared" si="41"/>
        <v>13.014536305607766</v>
      </c>
      <c r="AB435">
        <f t="shared" si="42"/>
        <v>0.91064585001688003</v>
      </c>
    </row>
    <row r="436" spans="23:28" x14ac:dyDescent="0.3">
      <c r="W436">
        <f t="shared" si="40"/>
        <v>1.1430218460191757</v>
      </c>
      <c r="Z436">
        <f t="shared" si="39"/>
        <v>8</v>
      </c>
      <c r="AA436">
        <f t="shared" si="41"/>
        <v>13.014532831557423</v>
      </c>
      <c r="AB436">
        <f t="shared" si="42"/>
        <v>0.90900246739993606</v>
      </c>
    </row>
    <row r="437" spans="23:28" x14ac:dyDescent="0.3">
      <c r="W437">
        <f t="shared" si="40"/>
        <v>1.1430260771680438</v>
      </c>
      <c r="Z437">
        <f t="shared" si="39"/>
        <v>8</v>
      </c>
      <c r="AA437">
        <f t="shared" si="41"/>
        <v>13.014528600408555</v>
      </c>
      <c r="AB437">
        <f t="shared" si="42"/>
        <v>0.90720635607175415</v>
      </c>
    </row>
    <row r="438" spans="23:28" x14ac:dyDescent="0.3">
      <c r="W438">
        <f t="shared" si="40"/>
        <v>1.1430312526971509</v>
      </c>
      <c r="Z438">
        <f t="shared" si="39"/>
        <v>8</v>
      </c>
      <c r="AA438">
        <f t="shared" si="41"/>
        <v>13.014523424879448</v>
      </c>
      <c r="AB438">
        <f t="shared" si="42"/>
        <v>0.90524147856173309</v>
      </c>
    </row>
    <row r="439" spans="23:28" x14ac:dyDescent="0.3">
      <c r="W439">
        <f t="shared" si="40"/>
        <v>1.1430376120900665</v>
      </c>
      <c r="Z439">
        <f t="shared" si="39"/>
        <v>8</v>
      </c>
      <c r="AA439">
        <f t="shared" si="41"/>
        <v>13.014517065486531</v>
      </c>
      <c r="AB439">
        <f t="shared" si="42"/>
        <v>0.90308992791247966</v>
      </c>
    </row>
    <row r="440" spans="23:28" x14ac:dyDescent="0.3">
      <c r="W440">
        <f t="shared" si="40"/>
        <v>1.1430454633263125</v>
      </c>
      <c r="Z440">
        <f t="shared" si="39"/>
        <v>8</v>
      </c>
      <c r="AA440">
        <f t="shared" si="41"/>
        <v>13.014509214250285</v>
      </c>
      <c r="AB440">
        <f t="shared" si="42"/>
        <v>0.90073168239924084</v>
      </c>
    </row>
    <row r="441" spans="23:28" x14ac:dyDescent="0.3">
      <c r="W441">
        <f t="shared" si="40"/>
        <v>1.1430552048418579</v>
      </c>
      <c r="Z441">
        <f t="shared" si="39"/>
        <v>8</v>
      </c>
      <c r="AA441">
        <f t="shared" si="41"/>
        <v>13.014499472734741</v>
      </c>
      <c r="AB441">
        <f t="shared" si="42"/>
        <v>0.89814432232808461</v>
      </c>
    </row>
    <row r="442" spans="23:28" x14ac:dyDescent="0.3">
      <c r="W442">
        <f t="shared" si="40"/>
        <v>1.1430673553416779</v>
      </c>
      <c r="Z442">
        <f t="shared" si="39"/>
        <v>8</v>
      </c>
      <c r="AA442">
        <f t="shared" si="41"/>
        <v>13.01448732223492</v>
      </c>
      <c r="AB442">
        <f t="shared" si="42"/>
        <v>0.89530270197348261</v>
      </c>
    </row>
    <row r="443" spans="23:28" x14ac:dyDescent="0.3">
      <c r="W443">
        <f t="shared" si="40"/>
        <v>1.1430825945820569</v>
      </c>
      <c r="Z443">
        <f t="shared" si="39"/>
        <v>8</v>
      </c>
      <c r="AA443">
        <f t="shared" si="41"/>
        <v>13.014472082994542</v>
      </c>
      <c r="AB443">
        <f t="shared" si="42"/>
        <v>0.89217856822269714</v>
      </c>
    </row>
    <row r="444" spans="23:28" x14ac:dyDescent="0.3">
      <c r="W444">
        <f t="shared" si="40"/>
        <v>1.1431018196091138</v>
      </c>
      <c r="Z444">
        <f t="shared" si="39"/>
        <v>8</v>
      </c>
      <c r="AA444">
        <f t="shared" si="41"/>
        <v>13.014452857967484</v>
      </c>
      <c r="AB444">
        <f t="shared" si="42"/>
        <v>0.88874011591112845</v>
      </c>
    </row>
    <row r="445" spans="23:28" x14ac:dyDescent="0.3">
      <c r="W445">
        <f t="shared" si="40"/>
        <v>1.1431262229715509</v>
      </c>
      <c r="Z445">
        <f t="shared" si="39"/>
        <v>8</v>
      </c>
      <c r="AA445">
        <f t="shared" si="41"/>
        <v>13.014428454605047</v>
      </c>
      <c r="AB445">
        <f t="shared" si="42"/>
        <v>0.88495146788830703</v>
      </c>
    </row>
    <row r="446" spans="23:28" x14ac:dyDescent="0.3">
      <c r="W446">
        <f t="shared" si="40"/>
        <v>1.1431574024708098</v>
      </c>
      <c r="Z446">
        <f t="shared" si="39"/>
        <v>8</v>
      </c>
      <c r="AA446">
        <f t="shared" si="41"/>
        <v>13.014397275105789</v>
      </c>
      <c r="AB446">
        <f t="shared" si="42"/>
        <v>0.88077206574924116</v>
      </c>
    </row>
    <row r="447" spans="23:28" x14ac:dyDescent="0.3">
      <c r="W447">
        <f t="shared" si="40"/>
        <v>1.1431975166274602</v>
      </c>
      <c r="Z447">
        <f t="shared" si="39"/>
        <v>8</v>
      </c>
      <c r="AA447">
        <f t="shared" si="41"/>
        <v>13.014357160949139</v>
      </c>
      <c r="AB447">
        <f t="shared" si="42"/>
        <v>0.87615595477184927</v>
      </c>
    </row>
    <row r="448" spans="23:28" x14ac:dyDescent="0.3">
      <c r="W448">
        <f t="shared" si="40"/>
        <v>1.1432495071180451</v>
      </c>
      <c r="Z448">
        <f t="shared" si="39"/>
        <v>8</v>
      </c>
      <c r="AA448">
        <f t="shared" si="41"/>
        <v>13.014305170458554</v>
      </c>
      <c r="AB448">
        <f t="shared" si="42"/>
        <v>0.87105094411999118</v>
      </c>
    </row>
    <row r="449" spans="23:28" x14ac:dyDescent="0.3">
      <c r="W449">
        <f t="shared" si="40"/>
        <v>1.1433174204155976</v>
      </c>
      <c r="Z449">
        <f t="shared" si="39"/>
        <v>8</v>
      </c>
      <c r="AA449">
        <f t="shared" si="41"/>
        <v>13.014237257161001</v>
      </c>
      <c r="AB449">
        <f t="shared" si="42"/>
        <v>0.86539762083250626</v>
      </c>
    </row>
    <row r="450" spans="23:28" x14ac:dyDescent="0.3">
      <c r="W450">
        <f t="shared" si="40"/>
        <v>1.1434068781193563</v>
      </c>
      <c r="Z450">
        <f t="shared" si="39"/>
        <v>8</v>
      </c>
      <c r="AA450">
        <f t="shared" si="41"/>
        <v>13.014147799457243</v>
      </c>
      <c r="AB450">
        <f t="shared" si="42"/>
        <v>0.8591281939956712</v>
      </c>
    </row>
    <row r="451" spans="23:28" x14ac:dyDescent="0.3">
      <c r="W451">
        <f t="shared" si="40"/>
        <v>1.1435257729394583</v>
      </c>
      <c r="Z451">
        <f t="shared" si="39"/>
        <v>8</v>
      </c>
      <c r="AA451">
        <f t="shared" si="41"/>
        <v>13.01402890463714</v>
      </c>
      <c r="AB451">
        <f t="shared" si="42"/>
        <v>0.85216514411116695</v>
      </c>
    </row>
    <row r="452" spans="23:28" x14ac:dyDescent="0.3">
      <c r="W452">
        <f t="shared" si="40"/>
        <v>1.1436853116960297</v>
      </c>
      <c r="Z452">
        <f t="shared" si="39"/>
        <v>8</v>
      </c>
      <c r="AA452">
        <f t="shared" si="41"/>
        <v>13.013869365880568</v>
      </c>
      <c r="AB452">
        <f t="shared" si="42"/>
        <v>0.84441965326912749</v>
      </c>
    </row>
    <row r="453" spans="23:28" x14ac:dyDescent="0.3">
      <c r="W453">
        <f t="shared" si="40"/>
        <v>1.143901599497658</v>
      </c>
      <c r="Z453">
        <f t="shared" si="39"/>
        <v>8</v>
      </c>
      <c r="AA453">
        <f t="shared" si="41"/>
        <v>13.01365307807894</v>
      </c>
      <c r="AB453">
        <f t="shared" si="42"/>
        <v>0.8357897958054098</v>
      </c>
    </row>
    <row r="454" spans="23:28" x14ac:dyDescent="0.3">
      <c r="W454">
        <f t="shared" si="40"/>
        <v>1.1441980805681298</v>
      </c>
      <c r="Z454">
        <f t="shared" si="39"/>
        <v>8</v>
      </c>
      <c r="AA454">
        <f t="shared" si="41"/>
        <v>13.013356597008469</v>
      </c>
      <c r="AB454">
        <f t="shared" si="42"/>
        <v>0.82615847988380908</v>
      </c>
    </row>
    <row r="455" spans="23:28" x14ac:dyDescent="0.3">
      <c r="W455">
        <f t="shared" si="40"/>
        <v>1.1446093567063613</v>
      </c>
      <c r="Z455">
        <f t="shared" si="39"/>
        <v>8</v>
      </c>
      <c r="AA455">
        <f t="shared" si="41"/>
        <v>13.012945320870237</v>
      </c>
      <c r="AB455">
        <f t="shared" si="42"/>
        <v>0.8153911530387663</v>
      </c>
    </row>
    <row r="456" spans="23:28" x14ac:dyDescent="0.3">
      <c r="W456">
        <f t="shared" si="40"/>
        <v>1.1451872587163414</v>
      </c>
      <c r="Z456">
        <f t="shared" si="39"/>
        <v>8</v>
      </c>
      <c r="AA456">
        <f t="shared" si="41"/>
        <v>13.012367418860258</v>
      </c>
      <c r="AB456">
        <f t="shared" si="42"/>
        <v>0.80333332837909754</v>
      </c>
    </row>
    <row r="457" spans="23:28" x14ac:dyDescent="0.3">
      <c r="W457">
        <f t="shared" si="40"/>
        <v>1.1460106684293483</v>
      </c>
      <c r="Z457">
        <f t="shared" si="39"/>
        <v>8</v>
      </c>
      <c r="AA457">
        <f t="shared" si="41"/>
        <v>13.011544009147251</v>
      </c>
      <c r="AB457">
        <f t="shared" si="42"/>
        <v>0.78980806865897468</v>
      </c>
    </row>
    <row r="458" spans="23:28" x14ac:dyDescent="0.3">
      <c r="W458">
        <f t="shared" si="40"/>
        <v>1.1472017026793939</v>
      </c>
      <c r="Z458">
        <f t="shared" si="39"/>
        <v>8</v>
      </c>
      <c r="AA458">
        <f t="shared" si="41"/>
        <v>13.010352974897204</v>
      </c>
      <c r="AB458">
        <f t="shared" si="42"/>
        <v>0.77461508690290759</v>
      </c>
    </row>
    <row r="459" spans="23:28" x14ac:dyDescent="0.3">
      <c r="W459">
        <f t="shared" si="40"/>
        <v>1.14862563631224</v>
      </c>
      <c r="Z459">
        <f t="shared" si="39"/>
        <v>8</v>
      </c>
      <c r="AA459">
        <f t="shared" si="41"/>
        <v>13.008929041264359</v>
      </c>
      <c r="AB459">
        <f t="shared" si="42"/>
        <v>0.76038690457725777</v>
      </c>
    </row>
    <row r="460" spans="23:28" x14ac:dyDescent="0.3">
      <c r="W460">
        <f t="shared" si="40"/>
        <v>1.151267421042153</v>
      </c>
      <c r="Z460">
        <f t="shared" si="39"/>
        <v>8</v>
      </c>
      <c r="AA460">
        <f t="shared" si="41"/>
        <v>13.006287256534446</v>
      </c>
      <c r="AB460">
        <f t="shared" si="42"/>
        <v>0.74027333028292353</v>
      </c>
    </row>
    <row r="461" spans="23:28" x14ac:dyDescent="0.3">
      <c r="W461">
        <f t="shared" si="40"/>
        <v>1.1549787815758645</v>
      </c>
      <c r="Z461">
        <f t="shared" si="39"/>
        <v>8</v>
      </c>
      <c r="AA461">
        <f t="shared" si="41"/>
        <v>13.002575896000733</v>
      </c>
      <c r="AB461">
        <f t="shared" si="42"/>
        <v>0.71945185286861368</v>
      </c>
    </row>
    <row r="462" spans="23:28" x14ac:dyDescent="0.3">
      <c r="W462">
        <f t="shared" si="40"/>
        <v>1.1609627321979774</v>
      </c>
      <c r="Z462">
        <f t="shared" si="39"/>
        <v>8</v>
      </c>
      <c r="AA462">
        <f t="shared" si="41"/>
        <v>12.996591945378622</v>
      </c>
      <c r="AB462">
        <f t="shared" si="42"/>
        <v>0.69510299977692602</v>
      </c>
    </row>
    <row r="463" spans="23:28" x14ac:dyDescent="0.3">
      <c r="W463">
        <f t="shared" si="40"/>
        <v>1.1702952871421346</v>
      </c>
      <c r="Z463">
        <f t="shared" si="39"/>
        <v>8</v>
      </c>
      <c r="AA463">
        <f t="shared" si="41"/>
        <v>12.987259390434463</v>
      </c>
      <c r="AB463">
        <f t="shared" si="42"/>
        <v>0.66827742889075359</v>
      </c>
    </row>
    <row r="464" spans="23:28" x14ac:dyDescent="0.3">
      <c r="W464">
        <f t="shared" si="40"/>
        <v>1.1856465819804098</v>
      </c>
      <c r="Z464">
        <f t="shared" si="39"/>
        <v>8</v>
      </c>
      <c r="AA464">
        <f t="shared" si="41"/>
        <v>12.971908095596188</v>
      </c>
      <c r="AB464">
        <f t="shared" si="42"/>
        <v>0.63793671515432082</v>
      </c>
    </row>
    <row r="465" spans="23:28" x14ac:dyDescent="0.3">
      <c r="W465">
        <f t="shared" si="40"/>
        <v>1.211044209731627</v>
      </c>
      <c r="Z465">
        <f t="shared" si="39"/>
        <v>8</v>
      </c>
      <c r="AA465">
        <f t="shared" si="41"/>
        <v>12.946510467844972</v>
      </c>
      <c r="AB465">
        <f t="shared" si="42"/>
        <v>0.60451895949480172</v>
      </c>
    </row>
    <row r="466" spans="23:28" x14ac:dyDescent="0.3">
      <c r="W466">
        <f t="shared" si="40"/>
        <v>1.2547271862495781</v>
      </c>
      <c r="Z466">
        <f t="shared" si="39"/>
        <v>8</v>
      </c>
      <c r="AA466">
        <f t="shared" si="41"/>
        <v>12.90282749132702</v>
      </c>
      <c r="AB466">
        <f t="shared" si="42"/>
        <v>0.56764407327826527</v>
      </c>
    </row>
    <row r="467" spans="23:28" x14ac:dyDescent="0.3">
      <c r="W467">
        <f t="shared" si="40"/>
        <v>1.3307024787234873</v>
      </c>
      <c r="Z467">
        <f t="shared" si="39"/>
        <v>8</v>
      </c>
      <c r="AA467">
        <f t="shared" si="41"/>
        <v>12.826852198853111</v>
      </c>
      <c r="AB467">
        <f t="shared" si="42"/>
        <v>0.52819919103708846</v>
      </c>
    </row>
    <row r="468" spans="23:28" x14ac:dyDescent="0.3">
      <c r="W468">
        <f t="shared" si="40"/>
        <v>1.4677546166840529</v>
      </c>
      <c r="Z468">
        <f t="shared" si="39"/>
        <v>8</v>
      </c>
      <c r="AA468">
        <f t="shared" si="41"/>
        <v>12.689800060892546</v>
      </c>
      <c r="AB468">
        <f t="shared" si="42"/>
        <v>0.48656332837244431</v>
      </c>
    </row>
    <row r="469" spans="23:28" x14ac:dyDescent="0.3">
      <c r="W469">
        <f t="shared" si="40"/>
        <v>1.7155867526768451</v>
      </c>
      <c r="Z469">
        <f t="shared" si="39"/>
        <v>8</v>
      </c>
      <c r="AA469">
        <f t="shared" si="41"/>
        <v>12.441967924899753</v>
      </c>
      <c r="AB469">
        <f t="shared" si="42"/>
        <v>0.44490630075061705</v>
      </c>
    </row>
    <row r="470" spans="23:28" x14ac:dyDescent="0.3">
      <c r="W470">
        <f t="shared" si="40"/>
        <v>2.1861296462312865</v>
      </c>
      <c r="Z470">
        <f t="shared" si="39"/>
        <v>8</v>
      </c>
      <c r="AA470">
        <f t="shared" si="41"/>
        <v>11.971425031345312</v>
      </c>
      <c r="AB470">
        <f t="shared" si="42"/>
        <v>0.40422770455153728</v>
      </c>
    </row>
    <row r="471" spans="23:28" x14ac:dyDescent="0.3">
      <c r="W471">
        <f t="shared" si="40"/>
        <v>2.2783011649994576</v>
      </c>
      <c r="Z471">
        <f t="shared" si="39"/>
        <v>8</v>
      </c>
      <c r="AA471">
        <f t="shared" si="41"/>
        <v>11.87925351257714</v>
      </c>
      <c r="AB471">
        <f t="shared" si="42"/>
        <v>0.3988654244970895</v>
      </c>
    </row>
    <row r="472" spans="23:28" x14ac:dyDescent="0.3">
      <c r="W472">
        <f t="shared" si="40"/>
        <v>0</v>
      </c>
      <c r="Z472">
        <f>Z420+1</f>
        <v>9</v>
      </c>
      <c r="AA472">
        <f t="shared" si="41"/>
        <v>11.87925351257714</v>
      </c>
      <c r="AB472">
        <f t="shared" si="42"/>
        <v>0.98291280402450532</v>
      </c>
    </row>
    <row r="473" spans="23:28" x14ac:dyDescent="0.3">
      <c r="W473">
        <f t="shared" si="40"/>
        <v>1.1429999999999998</v>
      </c>
      <c r="Z473">
        <f t="shared" ref="Z473:Z523" si="43">Z421+1</f>
        <v>9</v>
      </c>
      <c r="AA473">
        <f t="shared" si="41"/>
        <v>10.736253512577139</v>
      </c>
      <c r="AB473">
        <f t="shared" si="42"/>
        <v>0.98291280402450532</v>
      </c>
    </row>
    <row r="474" spans="23:28" x14ac:dyDescent="0.3">
      <c r="W474">
        <f t="shared" si="40"/>
        <v>1.1429999999999998</v>
      </c>
      <c r="Z474">
        <f t="shared" si="43"/>
        <v>9</v>
      </c>
      <c r="AA474">
        <f t="shared" si="41"/>
        <v>10.736253512577139</v>
      </c>
      <c r="AB474">
        <f t="shared" si="42"/>
        <v>0.93029680368287238</v>
      </c>
    </row>
    <row r="475" spans="23:28" x14ac:dyDescent="0.3">
      <c r="W475">
        <f t="shared" si="40"/>
        <v>1.1430009999999997</v>
      </c>
      <c r="Z475">
        <f t="shared" si="43"/>
        <v>9</v>
      </c>
      <c r="AA475">
        <f t="shared" si="41"/>
        <v>10.73625251257714</v>
      </c>
      <c r="AB475">
        <f t="shared" si="42"/>
        <v>0.9263375056609463</v>
      </c>
    </row>
    <row r="476" spans="23:28" x14ac:dyDescent="0.3">
      <c r="W476">
        <f t="shared" si="40"/>
        <v>1.1430019999999999</v>
      </c>
      <c r="Z476">
        <f t="shared" si="43"/>
        <v>9</v>
      </c>
      <c r="AA476">
        <f t="shared" si="41"/>
        <v>10.736251512577141</v>
      </c>
      <c r="AB476">
        <f t="shared" si="42"/>
        <v>0.92410350289481191</v>
      </c>
    </row>
    <row r="477" spans="23:28" x14ac:dyDescent="0.3">
      <c r="W477">
        <f t="shared" si="40"/>
        <v>1.1430029999999998</v>
      </c>
      <c r="Z477">
        <f t="shared" si="43"/>
        <v>9</v>
      </c>
      <c r="AA477">
        <f t="shared" si="41"/>
        <v>10.73625051257714</v>
      </c>
      <c r="AB477">
        <f t="shared" si="42"/>
        <v>0.92246702056568797</v>
      </c>
    </row>
    <row r="478" spans="23:28" x14ac:dyDescent="0.3">
      <c r="W478">
        <f t="shared" si="40"/>
        <v>1.1430039999999997</v>
      </c>
      <c r="Z478">
        <f t="shared" si="43"/>
        <v>9</v>
      </c>
      <c r="AA478">
        <f t="shared" si="41"/>
        <v>10.736249512577141</v>
      </c>
      <c r="AB478">
        <f t="shared" si="42"/>
        <v>0.92112545075286889</v>
      </c>
    </row>
    <row r="479" spans="23:28" x14ac:dyDescent="0.3">
      <c r="W479">
        <f t="shared" si="40"/>
        <v>1.1430049999999998</v>
      </c>
      <c r="Z479">
        <f t="shared" si="43"/>
        <v>9</v>
      </c>
      <c r="AA479">
        <f t="shared" si="41"/>
        <v>10.73624851257714</v>
      </c>
      <c r="AB479">
        <f t="shared" si="42"/>
        <v>0.91996796940552472</v>
      </c>
    </row>
    <row r="480" spans="23:28" x14ac:dyDescent="0.3">
      <c r="W480">
        <f t="shared" si="40"/>
        <v>1.1430059999999997</v>
      </c>
      <c r="Z480">
        <f t="shared" si="43"/>
        <v>9</v>
      </c>
      <c r="AA480">
        <f t="shared" si="41"/>
        <v>10.73624751257714</v>
      </c>
      <c r="AB480">
        <f t="shared" si="42"/>
        <v>0.91893925200966098</v>
      </c>
    </row>
    <row r="481" spans="23:28" x14ac:dyDescent="0.3">
      <c r="W481">
        <f t="shared" si="40"/>
        <v>1.1430069999999999</v>
      </c>
      <c r="Z481">
        <f t="shared" si="43"/>
        <v>9</v>
      </c>
      <c r="AA481">
        <f t="shared" si="41"/>
        <v>10.736246512577139</v>
      </c>
      <c r="AB481">
        <f t="shared" si="42"/>
        <v>0.91800698533963754</v>
      </c>
    </row>
    <row r="482" spans="23:28" x14ac:dyDescent="0.3">
      <c r="W482">
        <f t="shared" si="40"/>
        <v>1.1430081501326101</v>
      </c>
      <c r="Z482">
        <f t="shared" si="43"/>
        <v>9</v>
      </c>
      <c r="AA482">
        <f t="shared" si="41"/>
        <v>10.73624536244453</v>
      </c>
      <c r="AB482">
        <f t="shared" si="42"/>
        <v>0.91702734816235443</v>
      </c>
    </row>
    <row r="483" spans="23:28" x14ac:dyDescent="0.3">
      <c r="W483">
        <f t="shared" si="40"/>
        <v>1.1430095249244923</v>
      </c>
      <c r="Z483">
        <f t="shared" si="43"/>
        <v>9</v>
      </c>
      <c r="AA483">
        <f t="shared" si="41"/>
        <v>10.736243987652648</v>
      </c>
      <c r="AB483">
        <f t="shared" si="42"/>
        <v>0.9159585801938982</v>
      </c>
    </row>
    <row r="484" spans="23:28" x14ac:dyDescent="0.3">
      <c r="W484">
        <f t="shared" si="40"/>
        <v>1.1430111673040606</v>
      </c>
      <c r="Z484">
        <f t="shared" si="43"/>
        <v>9</v>
      </c>
      <c r="AA484">
        <f t="shared" si="41"/>
        <v>10.73624234527308</v>
      </c>
      <c r="AB484">
        <f t="shared" si="42"/>
        <v>0.91479625559011313</v>
      </c>
    </row>
    <row r="485" spans="23:28" x14ac:dyDescent="0.3">
      <c r="W485">
        <f t="shared" si="40"/>
        <v>1.1430131370239121</v>
      </c>
      <c r="Z485">
        <f t="shared" si="43"/>
        <v>9</v>
      </c>
      <c r="AA485">
        <f t="shared" si="41"/>
        <v>10.736240375553228</v>
      </c>
      <c r="AB485">
        <f t="shared" si="42"/>
        <v>0.91353048339815646</v>
      </c>
    </row>
    <row r="486" spans="23:28" x14ac:dyDescent="0.3">
      <c r="W486">
        <f t="shared" si="40"/>
        <v>1.1430155077632504</v>
      </c>
      <c r="Z486">
        <f t="shared" si="43"/>
        <v>9</v>
      </c>
      <c r="AA486">
        <f t="shared" si="41"/>
        <v>10.73623800481389</v>
      </c>
      <c r="AB486">
        <f t="shared" si="42"/>
        <v>0.91215088532597044</v>
      </c>
    </row>
    <row r="487" spans="23:28" x14ac:dyDescent="0.3">
      <c r="W487">
        <f t="shared" si="40"/>
        <v>1.1430183719688318</v>
      </c>
      <c r="Z487">
        <f t="shared" si="43"/>
        <v>9</v>
      </c>
      <c r="AA487">
        <f t="shared" si="41"/>
        <v>10.736235140608308</v>
      </c>
      <c r="AB487">
        <f t="shared" si="42"/>
        <v>0.91064585001688003</v>
      </c>
    </row>
    <row r="488" spans="23:28" x14ac:dyDescent="0.3">
      <c r="W488">
        <f t="shared" si="40"/>
        <v>1.1430218460191757</v>
      </c>
      <c r="Z488">
        <f t="shared" si="43"/>
        <v>9</v>
      </c>
      <c r="AA488">
        <f t="shared" si="41"/>
        <v>10.736231666557964</v>
      </c>
      <c r="AB488">
        <f t="shared" si="42"/>
        <v>0.90900246739993606</v>
      </c>
    </row>
    <row r="489" spans="23:28" x14ac:dyDescent="0.3">
      <c r="W489">
        <f t="shared" si="40"/>
        <v>1.1430260771680438</v>
      </c>
      <c r="Z489">
        <f t="shared" si="43"/>
        <v>9</v>
      </c>
      <c r="AA489">
        <f t="shared" si="41"/>
        <v>10.736227435409097</v>
      </c>
      <c r="AB489">
        <f t="shared" si="42"/>
        <v>0.90720635607175415</v>
      </c>
    </row>
    <row r="490" spans="23:28" x14ac:dyDescent="0.3">
      <c r="W490">
        <f t="shared" si="40"/>
        <v>1.1430312526971509</v>
      </c>
      <c r="Z490">
        <f t="shared" si="43"/>
        <v>9</v>
      </c>
      <c r="AA490">
        <f t="shared" si="41"/>
        <v>10.736222259879989</v>
      </c>
      <c r="AB490">
        <f t="shared" si="42"/>
        <v>0.90524147856173309</v>
      </c>
    </row>
    <row r="491" spans="23:28" x14ac:dyDescent="0.3">
      <c r="W491">
        <f t="shared" si="40"/>
        <v>1.1430376120900665</v>
      </c>
      <c r="Z491">
        <f t="shared" si="43"/>
        <v>9</v>
      </c>
      <c r="AA491">
        <f t="shared" si="41"/>
        <v>10.736215900487073</v>
      </c>
      <c r="AB491">
        <f t="shared" si="42"/>
        <v>0.90308992791247966</v>
      </c>
    </row>
    <row r="492" spans="23:28" x14ac:dyDescent="0.3">
      <c r="W492">
        <f t="shared" si="40"/>
        <v>1.1430454633263125</v>
      </c>
      <c r="Z492">
        <f t="shared" si="43"/>
        <v>9</v>
      </c>
      <c r="AA492">
        <f t="shared" si="41"/>
        <v>10.736208049250827</v>
      </c>
      <c r="AB492">
        <f t="shared" si="42"/>
        <v>0.90073168239924084</v>
      </c>
    </row>
    <row r="493" spans="23:28" x14ac:dyDescent="0.3">
      <c r="W493">
        <f t="shared" ref="W493:W556" si="44">W441</f>
        <v>1.1430552048418579</v>
      </c>
      <c r="Z493">
        <f t="shared" si="43"/>
        <v>9</v>
      </c>
      <c r="AA493">
        <f t="shared" ref="AA493:AA556" si="45">$AA$55-(Z493-1)*$X$51-W493</f>
        <v>10.736198307735282</v>
      </c>
      <c r="AB493">
        <f t="shared" ref="AB493:AB556" si="46">AB441</f>
        <v>0.89814432232808461</v>
      </c>
    </row>
    <row r="494" spans="23:28" x14ac:dyDescent="0.3">
      <c r="W494">
        <f t="shared" si="44"/>
        <v>1.1430673553416779</v>
      </c>
      <c r="Z494">
        <f t="shared" si="43"/>
        <v>9</v>
      </c>
      <c r="AA494">
        <f t="shared" si="45"/>
        <v>10.736186157235462</v>
      </c>
      <c r="AB494">
        <f t="shared" si="46"/>
        <v>0.89530270197348261</v>
      </c>
    </row>
    <row r="495" spans="23:28" x14ac:dyDescent="0.3">
      <c r="W495">
        <f t="shared" si="44"/>
        <v>1.1430825945820569</v>
      </c>
      <c r="Z495">
        <f t="shared" si="43"/>
        <v>9</v>
      </c>
      <c r="AA495">
        <f t="shared" si="45"/>
        <v>10.736170917995084</v>
      </c>
      <c r="AB495">
        <f t="shared" si="46"/>
        <v>0.89217856822269714</v>
      </c>
    </row>
    <row r="496" spans="23:28" x14ac:dyDescent="0.3">
      <c r="W496">
        <f t="shared" si="44"/>
        <v>1.1431018196091138</v>
      </c>
      <c r="Z496">
        <f t="shared" si="43"/>
        <v>9</v>
      </c>
      <c r="AA496">
        <f t="shared" si="45"/>
        <v>10.736151692968026</v>
      </c>
      <c r="AB496">
        <f t="shared" si="46"/>
        <v>0.88874011591112845</v>
      </c>
    </row>
    <row r="497" spans="23:28" x14ac:dyDescent="0.3">
      <c r="W497">
        <f t="shared" si="44"/>
        <v>1.1431262229715509</v>
      </c>
      <c r="Z497">
        <f t="shared" si="43"/>
        <v>9</v>
      </c>
      <c r="AA497">
        <f t="shared" si="45"/>
        <v>10.736127289605589</v>
      </c>
      <c r="AB497">
        <f t="shared" si="46"/>
        <v>0.88495146788830703</v>
      </c>
    </row>
    <row r="498" spans="23:28" x14ac:dyDescent="0.3">
      <c r="W498">
        <f t="shared" si="44"/>
        <v>1.1431574024708098</v>
      </c>
      <c r="Z498">
        <f t="shared" si="43"/>
        <v>9</v>
      </c>
      <c r="AA498">
        <f t="shared" si="45"/>
        <v>10.736096110106331</v>
      </c>
      <c r="AB498">
        <f t="shared" si="46"/>
        <v>0.88077206574924116</v>
      </c>
    </row>
    <row r="499" spans="23:28" x14ac:dyDescent="0.3">
      <c r="W499">
        <f t="shared" si="44"/>
        <v>1.1431975166274602</v>
      </c>
      <c r="Z499">
        <f t="shared" si="43"/>
        <v>9</v>
      </c>
      <c r="AA499">
        <f t="shared" si="45"/>
        <v>10.73605599594968</v>
      </c>
      <c r="AB499">
        <f t="shared" si="46"/>
        <v>0.87615595477184927</v>
      </c>
    </row>
    <row r="500" spans="23:28" x14ac:dyDescent="0.3">
      <c r="W500">
        <f t="shared" si="44"/>
        <v>1.1432495071180451</v>
      </c>
      <c r="Z500">
        <f t="shared" si="43"/>
        <v>9</v>
      </c>
      <c r="AA500">
        <f t="shared" si="45"/>
        <v>10.736004005459096</v>
      </c>
      <c r="AB500">
        <f t="shared" si="46"/>
        <v>0.87105094411999118</v>
      </c>
    </row>
    <row r="501" spans="23:28" x14ac:dyDescent="0.3">
      <c r="W501">
        <f t="shared" si="44"/>
        <v>1.1433174204155976</v>
      </c>
      <c r="Z501">
        <f t="shared" si="43"/>
        <v>9</v>
      </c>
      <c r="AA501">
        <f t="shared" si="45"/>
        <v>10.735936092161543</v>
      </c>
      <c r="AB501">
        <f t="shared" si="46"/>
        <v>0.86539762083250626</v>
      </c>
    </row>
    <row r="502" spans="23:28" x14ac:dyDescent="0.3">
      <c r="W502">
        <f t="shared" si="44"/>
        <v>1.1434068781193563</v>
      </c>
      <c r="Z502">
        <f t="shared" si="43"/>
        <v>9</v>
      </c>
      <c r="AA502">
        <f t="shared" si="45"/>
        <v>10.735846634457785</v>
      </c>
      <c r="AB502">
        <f t="shared" si="46"/>
        <v>0.8591281939956712</v>
      </c>
    </row>
    <row r="503" spans="23:28" x14ac:dyDescent="0.3">
      <c r="W503">
        <f t="shared" si="44"/>
        <v>1.1435257729394583</v>
      </c>
      <c r="Z503">
        <f t="shared" si="43"/>
        <v>9</v>
      </c>
      <c r="AA503">
        <f t="shared" si="45"/>
        <v>10.735727739637682</v>
      </c>
      <c r="AB503">
        <f t="shared" si="46"/>
        <v>0.85216514411116695</v>
      </c>
    </row>
    <row r="504" spans="23:28" x14ac:dyDescent="0.3">
      <c r="W504">
        <f t="shared" si="44"/>
        <v>1.1436853116960297</v>
      </c>
      <c r="Z504">
        <f t="shared" si="43"/>
        <v>9</v>
      </c>
      <c r="AA504">
        <f t="shared" si="45"/>
        <v>10.73556820088111</v>
      </c>
      <c r="AB504">
        <f t="shared" si="46"/>
        <v>0.84441965326912749</v>
      </c>
    </row>
    <row r="505" spans="23:28" x14ac:dyDescent="0.3">
      <c r="W505">
        <f t="shared" si="44"/>
        <v>1.143901599497658</v>
      </c>
      <c r="Z505">
        <f t="shared" si="43"/>
        <v>9</v>
      </c>
      <c r="AA505">
        <f t="shared" si="45"/>
        <v>10.735351913079482</v>
      </c>
      <c r="AB505">
        <f t="shared" si="46"/>
        <v>0.8357897958054098</v>
      </c>
    </row>
    <row r="506" spans="23:28" x14ac:dyDescent="0.3">
      <c r="W506">
        <f t="shared" si="44"/>
        <v>1.1441980805681298</v>
      </c>
      <c r="Z506">
        <f t="shared" si="43"/>
        <v>9</v>
      </c>
      <c r="AA506">
        <f t="shared" si="45"/>
        <v>10.735055432009011</v>
      </c>
      <c r="AB506">
        <f t="shared" si="46"/>
        <v>0.82615847988380908</v>
      </c>
    </row>
    <row r="507" spans="23:28" x14ac:dyDescent="0.3">
      <c r="W507">
        <f t="shared" si="44"/>
        <v>1.1446093567063613</v>
      </c>
      <c r="Z507">
        <f t="shared" si="43"/>
        <v>9</v>
      </c>
      <c r="AA507">
        <f t="shared" si="45"/>
        <v>10.734644155870779</v>
      </c>
      <c r="AB507">
        <f t="shared" si="46"/>
        <v>0.8153911530387663</v>
      </c>
    </row>
    <row r="508" spans="23:28" x14ac:dyDescent="0.3">
      <c r="W508">
        <f t="shared" si="44"/>
        <v>1.1451872587163414</v>
      </c>
      <c r="Z508">
        <f t="shared" si="43"/>
        <v>9</v>
      </c>
      <c r="AA508">
        <f t="shared" si="45"/>
        <v>10.734066253860799</v>
      </c>
      <c r="AB508">
        <f t="shared" si="46"/>
        <v>0.80333332837909754</v>
      </c>
    </row>
    <row r="509" spans="23:28" x14ac:dyDescent="0.3">
      <c r="W509">
        <f t="shared" si="44"/>
        <v>1.1460106684293483</v>
      </c>
      <c r="Z509">
        <f t="shared" si="43"/>
        <v>9</v>
      </c>
      <c r="AA509">
        <f t="shared" si="45"/>
        <v>10.733242844147792</v>
      </c>
      <c r="AB509">
        <f t="shared" si="46"/>
        <v>0.78980806865897468</v>
      </c>
    </row>
    <row r="510" spans="23:28" x14ac:dyDescent="0.3">
      <c r="W510">
        <f t="shared" si="44"/>
        <v>1.1472017026793939</v>
      </c>
      <c r="Z510">
        <f t="shared" si="43"/>
        <v>9</v>
      </c>
      <c r="AA510">
        <f t="shared" si="45"/>
        <v>10.732051809897746</v>
      </c>
      <c r="AB510">
        <f t="shared" si="46"/>
        <v>0.77461508690290759</v>
      </c>
    </row>
    <row r="511" spans="23:28" x14ac:dyDescent="0.3">
      <c r="W511">
        <f t="shared" si="44"/>
        <v>1.14862563631224</v>
      </c>
      <c r="Z511">
        <f t="shared" si="43"/>
        <v>9</v>
      </c>
      <c r="AA511">
        <f t="shared" si="45"/>
        <v>10.730627876264901</v>
      </c>
      <c r="AB511">
        <f t="shared" si="46"/>
        <v>0.76038690457725777</v>
      </c>
    </row>
    <row r="512" spans="23:28" x14ac:dyDescent="0.3">
      <c r="W512">
        <f t="shared" si="44"/>
        <v>1.151267421042153</v>
      </c>
      <c r="Z512">
        <f t="shared" si="43"/>
        <v>9</v>
      </c>
      <c r="AA512">
        <f t="shared" si="45"/>
        <v>10.727986091534987</v>
      </c>
      <c r="AB512">
        <f t="shared" si="46"/>
        <v>0.74027333028292353</v>
      </c>
    </row>
    <row r="513" spans="23:28" x14ac:dyDescent="0.3">
      <c r="W513">
        <f t="shared" si="44"/>
        <v>1.1549787815758645</v>
      </c>
      <c r="Z513">
        <f t="shared" si="43"/>
        <v>9</v>
      </c>
      <c r="AA513">
        <f t="shared" si="45"/>
        <v>10.724274731001275</v>
      </c>
      <c r="AB513">
        <f t="shared" si="46"/>
        <v>0.71945185286861368</v>
      </c>
    </row>
    <row r="514" spans="23:28" x14ac:dyDescent="0.3">
      <c r="W514">
        <f t="shared" si="44"/>
        <v>1.1609627321979774</v>
      </c>
      <c r="Z514">
        <f t="shared" si="43"/>
        <v>9</v>
      </c>
      <c r="AA514">
        <f t="shared" si="45"/>
        <v>10.718290780379164</v>
      </c>
      <c r="AB514">
        <f t="shared" si="46"/>
        <v>0.69510299977692602</v>
      </c>
    </row>
    <row r="515" spans="23:28" x14ac:dyDescent="0.3">
      <c r="W515">
        <f t="shared" si="44"/>
        <v>1.1702952871421346</v>
      </c>
      <c r="Z515">
        <f t="shared" si="43"/>
        <v>9</v>
      </c>
      <c r="AA515">
        <f t="shared" si="45"/>
        <v>10.708958225435005</v>
      </c>
      <c r="AB515">
        <f t="shared" si="46"/>
        <v>0.66827742889075359</v>
      </c>
    </row>
    <row r="516" spans="23:28" x14ac:dyDescent="0.3">
      <c r="W516">
        <f t="shared" si="44"/>
        <v>1.1856465819804098</v>
      </c>
      <c r="Z516">
        <f t="shared" si="43"/>
        <v>9</v>
      </c>
      <c r="AA516">
        <f t="shared" si="45"/>
        <v>10.693606930596729</v>
      </c>
      <c r="AB516">
        <f t="shared" si="46"/>
        <v>0.63793671515432082</v>
      </c>
    </row>
    <row r="517" spans="23:28" x14ac:dyDescent="0.3">
      <c r="W517">
        <f t="shared" si="44"/>
        <v>1.211044209731627</v>
      </c>
      <c r="Z517">
        <f t="shared" si="43"/>
        <v>9</v>
      </c>
      <c r="AA517">
        <f t="shared" si="45"/>
        <v>10.668209302845513</v>
      </c>
      <c r="AB517">
        <f t="shared" si="46"/>
        <v>0.60451895949480172</v>
      </c>
    </row>
    <row r="518" spans="23:28" x14ac:dyDescent="0.3">
      <c r="W518">
        <f t="shared" si="44"/>
        <v>1.2547271862495781</v>
      </c>
      <c r="Z518">
        <f t="shared" si="43"/>
        <v>9</v>
      </c>
      <c r="AA518">
        <f t="shared" si="45"/>
        <v>10.624526326327562</v>
      </c>
      <c r="AB518">
        <f t="shared" si="46"/>
        <v>0.56764407327826527</v>
      </c>
    </row>
    <row r="519" spans="23:28" x14ac:dyDescent="0.3">
      <c r="W519">
        <f t="shared" si="44"/>
        <v>1.3307024787234873</v>
      </c>
      <c r="Z519">
        <f t="shared" si="43"/>
        <v>9</v>
      </c>
      <c r="AA519">
        <f t="shared" si="45"/>
        <v>10.548551033853652</v>
      </c>
      <c r="AB519">
        <f t="shared" si="46"/>
        <v>0.52819919103708846</v>
      </c>
    </row>
    <row r="520" spans="23:28" x14ac:dyDescent="0.3">
      <c r="W520">
        <f t="shared" si="44"/>
        <v>1.4677546166840529</v>
      </c>
      <c r="Z520">
        <f t="shared" si="43"/>
        <v>9</v>
      </c>
      <c r="AA520">
        <f t="shared" si="45"/>
        <v>10.411498895893088</v>
      </c>
      <c r="AB520">
        <f t="shared" si="46"/>
        <v>0.48656332837244431</v>
      </c>
    </row>
    <row r="521" spans="23:28" x14ac:dyDescent="0.3">
      <c r="W521">
        <f t="shared" si="44"/>
        <v>1.7155867526768451</v>
      </c>
      <c r="Z521">
        <f t="shared" si="43"/>
        <v>9</v>
      </c>
      <c r="AA521">
        <f t="shared" si="45"/>
        <v>10.163666759900295</v>
      </c>
      <c r="AB521">
        <f t="shared" si="46"/>
        <v>0.44490630075061705</v>
      </c>
    </row>
    <row r="522" spans="23:28" x14ac:dyDescent="0.3">
      <c r="W522">
        <f t="shared" si="44"/>
        <v>2.1861296462312865</v>
      </c>
      <c r="Z522">
        <f t="shared" si="43"/>
        <v>9</v>
      </c>
      <c r="AA522">
        <f t="shared" si="45"/>
        <v>9.6931238663458537</v>
      </c>
      <c r="AB522">
        <f t="shared" si="46"/>
        <v>0.40422770455153728</v>
      </c>
    </row>
    <row r="523" spans="23:28" x14ac:dyDescent="0.3">
      <c r="W523">
        <f t="shared" si="44"/>
        <v>2.2783011649994576</v>
      </c>
      <c r="Z523">
        <f t="shared" si="43"/>
        <v>9</v>
      </c>
      <c r="AA523">
        <f t="shared" si="45"/>
        <v>9.6009523475776817</v>
      </c>
      <c r="AB523">
        <f t="shared" si="46"/>
        <v>0.3988654244970895</v>
      </c>
    </row>
    <row r="524" spans="23:28" x14ac:dyDescent="0.3">
      <c r="W524">
        <f t="shared" si="44"/>
        <v>0</v>
      </c>
      <c r="Z524">
        <f>Z472+1</f>
        <v>10</v>
      </c>
      <c r="AA524">
        <f t="shared" si="45"/>
        <v>9.6009523475776817</v>
      </c>
      <c r="AB524">
        <f t="shared" si="46"/>
        <v>0.98291280402450532</v>
      </c>
    </row>
    <row r="525" spans="23:28" x14ac:dyDescent="0.3">
      <c r="W525">
        <f t="shared" si="44"/>
        <v>1.1429999999999998</v>
      </c>
      <c r="Z525">
        <f t="shared" ref="Z525:Z575" si="47">Z473+1</f>
        <v>10</v>
      </c>
      <c r="AA525">
        <f t="shared" si="45"/>
        <v>8.457952347577681</v>
      </c>
      <c r="AB525">
        <f t="shared" si="46"/>
        <v>0.98291280402450532</v>
      </c>
    </row>
    <row r="526" spans="23:28" x14ac:dyDescent="0.3">
      <c r="W526">
        <f t="shared" si="44"/>
        <v>1.1429999999999998</v>
      </c>
      <c r="Z526">
        <f t="shared" si="47"/>
        <v>10</v>
      </c>
      <c r="AA526">
        <f t="shared" si="45"/>
        <v>8.457952347577681</v>
      </c>
      <c r="AB526">
        <f t="shared" si="46"/>
        <v>0.93029680368287238</v>
      </c>
    </row>
    <row r="527" spans="23:28" x14ac:dyDescent="0.3">
      <c r="W527">
        <f t="shared" si="44"/>
        <v>1.1430009999999997</v>
      </c>
      <c r="Z527">
        <f t="shared" si="47"/>
        <v>10</v>
      </c>
      <c r="AA527">
        <f t="shared" si="45"/>
        <v>8.4579513475776817</v>
      </c>
      <c r="AB527">
        <f t="shared" si="46"/>
        <v>0.9263375056609463</v>
      </c>
    </row>
    <row r="528" spans="23:28" x14ac:dyDescent="0.3">
      <c r="W528">
        <f t="shared" si="44"/>
        <v>1.1430019999999999</v>
      </c>
      <c r="Z528">
        <f t="shared" si="47"/>
        <v>10</v>
      </c>
      <c r="AA528">
        <f t="shared" si="45"/>
        <v>8.4579503475776825</v>
      </c>
      <c r="AB528">
        <f t="shared" si="46"/>
        <v>0.92410350289481191</v>
      </c>
    </row>
    <row r="529" spans="23:28" x14ac:dyDescent="0.3">
      <c r="W529">
        <f t="shared" si="44"/>
        <v>1.1430029999999998</v>
      </c>
      <c r="Z529">
        <f t="shared" si="47"/>
        <v>10</v>
      </c>
      <c r="AA529">
        <f t="shared" si="45"/>
        <v>8.4579493475776815</v>
      </c>
      <c r="AB529">
        <f t="shared" si="46"/>
        <v>0.92246702056568797</v>
      </c>
    </row>
    <row r="530" spans="23:28" x14ac:dyDescent="0.3">
      <c r="W530">
        <f t="shared" si="44"/>
        <v>1.1430039999999997</v>
      </c>
      <c r="Z530">
        <f t="shared" si="47"/>
        <v>10</v>
      </c>
      <c r="AA530">
        <f t="shared" si="45"/>
        <v>8.4579483475776822</v>
      </c>
      <c r="AB530">
        <f t="shared" si="46"/>
        <v>0.92112545075286889</v>
      </c>
    </row>
    <row r="531" spans="23:28" x14ac:dyDescent="0.3">
      <c r="W531">
        <f t="shared" si="44"/>
        <v>1.1430049999999998</v>
      </c>
      <c r="Z531">
        <f t="shared" si="47"/>
        <v>10</v>
      </c>
      <c r="AA531">
        <f t="shared" si="45"/>
        <v>8.4579473475776812</v>
      </c>
      <c r="AB531">
        <f t="shared" si="46"/>
        <v>0.91996796940552472</v>
      </c>
    </row>
    <row r="532" spans="23:28" x14ac:dyDescent="0.3">
      <c r="W532">
        <f t="shared" si="44"/>
        <v>1.1430059999999997</v>
      </c>
      <c r="Z532">
        <f t="shared" si="47"/>
        <v>10</v>
      </c>
      <c r="AA532">
        <f t="shared" si="45"/>
        <v>8.4579463475776819</v>
      </c>
      <c r="AB532">
        <f t="shared" si="46"/>
        <v>0.91893925200966098</v>
      </c>
    </row>
    <row r="533" spans="23:28" x14ac:dyDescent="0.3">
      <c r="W533">
        <f t="shared" si="44"/>
        <v>1.1430069999999999</v>
      </c>
      <c r="Z533">
        <f t="shared" si="47"/>
        <v>10</v>
      </c>
      <c r="AA533">
        <f t="shared" si="45"/>
        <v>8.4579453475776809</v>
      </c>
      <c r="AB533">
        <f t="shared" si="46"/>
        <v>0.91800698533963754</v>
      </c>
    </row>
    <row r="534" spans="23:28" x14ac:dyDescent="0.3">
      <c r="W534">
        <f t="shared" si="44"/>
        <v>1.1430081501326101</v>
      </c>
      <c r="Z534">
        <f t="shared" si="47"/>
        <v>10</v>
      </c>
      <c r="AA534">
        <f t="shared" si="45"/>
        <v>8.4579441974450713</v>
      </c>
      <c r="AB534">
        <f t="shared" si="46"/>
        <v>0.91702734816235443</v>
      </c>
    </row>
    <row r="535" spans="23:28" x14ac:dyDescent="0.3">
      <c r="W535">
        <f t="shared" si="44"/>
        <v>1.1430095249244923</v>
      </c>
      <c r="Z535">
        <f t="shared" si="47"/>
        <v>10</v>
      </c>
      <c r="AA535">
        <f t="shared" si="45"/>
        <v>8.4579428226531892</v>
      </c>
      <c r="AB535">
        <f t="shared" si="46"/>
        <v>0.9159585801938982</v>
      </c>
    </row>
    <row r="536" spans="23:28" x14ac:dyDescent="0.3">
      <c r="W536">
        <f t="shared" si="44"/>
        <v>1.1430111673040606</v>
      </c>
      <c r="Z536">
        <f t="shared" si="47"/>
        <v>10</v>
      </c>
      <c r="AA536">
        <f t="shared" si="45"/>
        <v>8.4579411802736217</v>
      </c>
      <c r="AB536">
        <f t="shared" si="46"/>
        <v>0.91479625559011313</v>
      </c>
    </row>
    <row r="537" spans="23:28" x14ac:dyDescent="0.3">
      <c r="W537">
        <f t="shared" si="44"/>
        <v>1.1430131370239121</v>
      </c>
      <c r="Z537">
        <f t="shared" si="47"/>
        <v>10</v>
      </c>
      <c r="AA537">
        <f t="shared" si="45"/>
        <v>8.4579392105537696</v>
      </c>
      <c r="AB537">
        <f t="shared" si="46"/>
        <v>0.91353048339815646</v>
      </c>
    </row>
    <row r="538" spans="23:28" x14ac:dyDescent="0.3">
      <c r="W538">
        <f t="shared" si="44"/>
        <v>1.1430155077632504</v>
      </c>
      <c r="Z538">
        <f t="shared" si="47"/>
        <v>10</v>
      </c>
      <c r="AA538">
        <f t="shared" si="45"/>
        <v>8.4579368398144315</v>
      </c>
      <c r="AB538">
        <f t="shared" si="46"/>
        <v>0.91215088532597044</v>
      </c>
    </row>
    <row r="539" spans="23:28" x14ac:dyDescent="0.3">
      <c r="W539">
        <f t="shared" si="44"/>
        <v>1.1430183719688318</v>
      </c>
      <c r="Z539">
        <f t="shared" si="47"/>
        <v>10</v>
      </c>
      <c r="AA539">
        <f t="shared" si="45"/>
        <v>8.4579339756088494</v>
      </c>
      <c r="AB539">
        <f t="shared" si="46"/>
        <v>0.91064585001688003</v>
      </c>
    </row>
    <row r="540" spans="23:28" x14ac:dyDescent="0.3">
      <c r="W540">
        <f t="shared" si="44"/>
        <v>1.1430218460191757</v>
      </c>
      <c r="Z540">
        <f t="shared" si="47"/>
        <v>10</v>
      </c>
      <c r="AA540">
        <f t="shared" si="45"/>
        <v>8.457930501558506</v>
      </c>
      <c r="AB540">
        <f t="shared" si="46"/>
        <v>0.90900246739993606</v>
      </c>
    </row>
    <row r="541" spans="23:28" x14ac:dyDescent="0.3">
      <c r="W541">
        <f t="shared" si="44"/>
        <v>1.1430260771680438</v>
      </c>
      <c r="Z541">
        <f t="shared" si="47"/>
        <v>10</v>
      </c>
      <c r="AA541">
        <f t="shared" si="45"/>
        <v>8.4579262704096383</v>
      </c>
      <c r="AB541">
        <f t="shared" si="46"/>
        <v>0.90720635607175415</v>
      </c>
    </row>
    <row r="542" spans="23:28" x14ac:dyDescent="0.3">
      <c r="W542">
        <f t="shared" si="44"/>
        <v>1.1430312526971509</v>
      </c>
      <c r="Z542">
        <f t="shared" si="47"/>
        <v>10</v>
      </c>
      <c r="AA542">
        <f t="shared" si="45"/>
        <v>8.4579210948805308</v>
      </c>
      <c r="AB542">
        <f t="shared" si="46"/>
        <v>0.90524147856173309</v>
      </c>
    </row>
    <row r="543" spans="23:28" x14ac:dyDescent="0.3">
      <c r="W543">
        <f t="shared" si="44"/>
        <v>1.1430376120900665</v>
      </c>
      <c r="Z543">
        <f t="shared" si="47"/>
        <v>10</v>
      </c>
      <c r="AA543">
        <f t="shared" si="45"/>
        <v>8.4579147354876145</v>
      </c>
      <c r="AB543">
        <f t="shared" si="46"/>
        <v>0.90308992791247966</v>
      </c>
    </row>
    <row r="544" spans="23:28" x14ac:dyDescent="0.3">
      <c r="W544">
        <f t="shared" si="44"/>
        <v>1.1430454633263125</v>
      </c>
      <c r="Z544">
        <f t="shared" si="47"/>
        <v>10</v>
      </c>
      <c r="AA544">
        <f t="shared" si="45"/>
        <v>8.4579068842513685</v>
      </c>
      <c r="AB544">
        <f t="shared" si="46"/>
        <v>0.90073168239924084</v>
      </c>
    </row>
    <row r="545" spans="23:28" x14ac:dyDescent="0.3">
      <c r="W545">
        <f t="shared" si="44"/>
        <v>1.1430552048418579</v>
      </c>
      <c r="Z545">
        <f t="shared" si="47"/>
        <v>10</v>
      </c>
      <c r="AA545">
        <f t="shared" si="45"/>
        <v>8.457897142735824</v>
      </c>
      <c r="AB545">
        <f t="shared" si="46"/>
        <v>0.89814432232808461</v>
      </c>
    </row>
    <row r="546" spans="23:28" x14ac:dyDescent="0.3">
      <c r="W546">
        <f t="shared" si="44"/>
        <v>1.1430673553416779</v>
      </c>
      <c r="Z546">
        <f t="shared" si="47"/>
        <v>10</v>
      </c>
      <c r="AA546">
        <f t="shared" si="45"/>
        <v>8.4578849922360035</v>
      </c>
      <c r="AB546">
        <f t="shared" si="46"/>
        <v>0.89530270197348261</v>
      </c>
    </row>
    <row r="547" spans="23:28" x14ac:dyDescent="0.3">
      <c r="W547">
        <f t="shared" si="44"/>
        <v>1.1430825945820569</v>
      </c>
      <c r="Z547">
        <f t="shared" si="47"/>
        <v>10</v>
      </c>
      <c r="AA547">
        <f t="shared" si="45"/>
        <v>8.4578697529956255</v>
      </c>
      <c r="AB547">
        <f t="shared" si="46"/>
        <v>0.89217856822269714</v>
      </c>
    </row>
    <row r="548" spans="23:28" x14ac:dyDescent="0.3">
      <c r="W548">
        <f t="shared" si="44"/>
        <v>1.1431018196091138</v>
      </c>
      <c r="Z548">
        <f t="shared" si="47"/>
        <v>10</v>
      </c>
      <c r="AA548">
        <f t="shared" si="45"/>
        <v>8.4578505279685672</v>
      </c>
      <c r="AB548">
        <f t="shared" si="46"/>
        <v>0.88874011591112845</v>
      </c>
    </row>
    <row r="549" spans="23:28" x14ac:dyDescent="0.3">
      <c r="W549">
        <f t="shared" si="44"/>
        <v>1.1431262229715509</v>
      </c>
      <c r="Z549">
        <f t="shared" si="47"/>
        <v>10</v>
      </c>
      <c r="AA549">
        <f t="shared" si="45"/>
        <v>8.4578261246061306</v>
      </c>
      <c r="AB549">
        <f t="shared" si="46"/>
        <v>0.88495146788830703</v>
      </c>
    </row>
    <row r="550" spans="23:28" x14ac:dyDescent="0.3">
      <c r="W550">
        <f t="shared" si="44"/>
        <v>1.1431574024708098</v>
      </c>
      <c r="Z550">
        <f t="shared" si="47"/>
        <v>10</v>
      </c>
      <c r="AA550">
        <f t="shared" si="45"/>
        <v>8.4577949451068726</v>
      </c>
      <c r="AB550">
        <f t="shared" si="46"/>
        <v>0.88077206574924116</v>
      </c>
    </row>
    <row r="551" spans="23:28" x14ac:dyDescent="0.3">
      <c r="W551">
        <f t="shared" si="44"/>
        <v>1.1431975166274602</v>
      </c>
      <c r="Z551">
        <f t="shared" si="47"/>
        <v>10</v>
      </c>
      <c r="AA551">
        <f t="shared" si="45"/>
        <v>8.457754830950222</v>
      </c>
      <c r="AB551">
        <f t="shared" si="46"/>
        <v>0.87615595477184927</v>
      </c>
    </row>
    <row r="552" spans="23:28" x14ac:dyDescent="0.3">
      <c r="W552">
        <f t="shared" si="44"/>
        <v>1.1432495071180451</v>
      </c>
      <c r="Z552">
        <f t="shared" si="47"/>
        <v>10</v>
      </c>
      <c r="AA552">
        <f t="shared" si="45"/>
        <v>8.4577028404596373</v>
      </c>
      <c r="AB552">
        <f t="shared" si="46"/>
        <v>0.87105094411999118</v>
      </c>
    </row>
    <row r="553" spans="23:28" x14ac:dyDescent="0.3">
      <c r="W553">
        <f t="shared" si="44"/>
        <v>1.1433174204155976</v>
      </c>
      <c r="Z553">
        <f t="shared" si="47"/>
        <v>10</v>
      </c>
      <c r="AA553">
        <f t="shared" si="45"/>
        <v>8.4576349271620845</v>
      </c>
      <c r="AB553">
        <f t="shared" si="46"/>
        <v>0.86539762083250626</v>
      </c>
    </row>
    <row r="554" spans="23:28" x14ac:dyDescent="0.3">
      <c r="W554">
        <f t="shared" si="44"/>
        <v>1.1434068781193563</v>
      </c>
      <c r="Z554">
        <f t="shared" si="47"/>
        <v>10</v>
      </c>
      <c r="AA554">
        <f t="shared" si="45"/>
        <v>8.4575454694583261</v>
      </c>
      <c r="AB554">
        <f t="shared" si="46"/>
        <v>0.8591281939956712</v>
      </c>
    </row>
    <row r="555" spans="23:28" x14ac:dyDescent="0.3">
      <c r="W555">
        <f t="shared" si="44"/>
        <v>1.1435257729394583</v>
      </c>
      <c r="Z555">
        <f t="shared" si="47"/>
        <v>10</v>
      </c>
      <c r="AA555">
        <f t="shared" si="45"/>
        <v>8.4574265746382231</v>
      </c>
      <c r="AB555">
        <f t="shared" si="46"/>
        <v>0.85216514411116695</v>
      </c>
    </row>
    <row r="556" spans="23:28" x14ac:dyDescent="0.3">
      <c r="W556">
        <f t="shared" si="44"/>
        <v>1.1436853116960297</v>
      </c>
      <c r="Z556">
        <f t="shared" si="47"/>
        <v>10</v>
      </c>
      <c r="AA556">
        <f t="shared" si="45"/>
        <v>8.4572670358816513</v>
      </c>
      <c r="AB556">
        <f t="shared" si="46"/>
        <v>0.84441965326912749</v>
      </c>
    </row>
    <row r="557" spans="23:28" x14ac:dyDescent="0.3">
      <c r="W557">
        <f t="shared" ref="W557:W620" si="48">W505</f>
        <v>1.143901599497658</v>
      </c>
      <c r="Z557">
        <f t="shared" si="47"/>
        <v>10</v>
      </c>
      <c r="AA557">
        <f t="shared" ref="AA557:AA620" si="49">$AA$55-(Z557-1)*$X$51-W557</f>
        <v>8.4570507480800234</v>
      </c>
      <c r="AB557">
        <f t="shared" ref="AB557:AB620" si="50">AB505</f>
        <v>0.8357897958054098</v>
      </c>
    </row>
    <row r="558" spans="23:28" x14ac:dyDescent="0.3">
      <c r="W558">
        <f t="shared" si="48"/>
        <v>1.1441980805681298</v>
      </c>
      <c r="Z558">
        <f t="shared" si="47"/>
        <v>10</v>
      </c>
      <c r="AA558">
        <f t="shared" si="49"/>
        <v>8.4567542670095524</v>
      </c>
      <c r="AB558">
        <f t="shared" si="50"/>
        <v>0.82615847988380908</v>
      </c>
    </row>
    <row r="559" spans="23:28" x14ac:dyDescent="0.3">
      <c r="W559">
        <f t="shared" si="48"/>
        <v>1.1446093567063613</v>
      </c>
      <c r="Z559">
        <f t="shared" si="47"/>
        <v>10</v>
      </c>
      <c r="AA559">
        <f t="shared" si="49"/>
        <v>8.4563429908713204</v>
      </c>
      <c r="AB559">
        <f t="shared" si="50"/>
        <v>0.8153911530387663</v>
      </c>
    </row>
    <row r="560" spans="23:28" x14ac:dyDescent="0.3">
      <c r="W560">
        <f t="shared" si="48"/>
        <v>1.1451872587163414</v>
      </c>
      <c r="Z560">
        <f t="shared" si="47"/>
        <v>10</v>
      </c>
      <c r="AA560">
        <f t="shared" si="49"/>
        <v>8.4557650888613409</v>
      </c>
      <c r="AB560">
        <f t="shared" si="50"/>
        <v>0.80333332837909754</v>
      </c>
    </row>
    <row r="561" spans="23:28" x14ac:dyDescent="0.3">
      <c r="W561">
        <f t="shared" si="48"/>
        <v>1.1460106684293483</v>
      </c>
      <c r="Z561">
        <f t="shared" si="47"/>
        <v>10</v>
      </c>
      <c r="AA561">
        <f t="shared" si="49"/>
        <v>8.4549416791483338</v>
      </c>
      <c r="AB561">
        <f t="shared" si="50"/>
        <v>0.78980806865897468</v>
      </c>
    </row>
    <row r="562" spans="23:28" x14ac:dyDescent="0.3">
      <c r="W562">
        <f t="shared" si="48"/>
        <v>1.1472017026793939</v>
      </c>
      <c r="Z562">
        <f t="shared" si="47"/>
        <v>10</v>
      </c>
      <c r="AA562">
        <f t="shared" si="49"/>
        <v>8.4537506448982871</v>
      </c>
      <c r="AB562">
        <f t="shared" si="50"/>
        <v>0.77461508690290759</v>
      </c>
    </row>
    <row r="563" spans="23:28" x14ac:dyDescent="0.3">
      <c r="W563">
        <f t="shared" si="48"/>
        <v>1.14862563631224</v>
      </c>
      <c r="Z563">
        <f t="shared" si="47"/>
        <v>10</v>
      </c>
      <c r="AA563">
        <f t="shared" si="49"/>
        <v>8.4523267112654423</v>
      </c>
      <c r="AB563">
        <f t="shared" si="50"/>
        <v>0.76038690457725777</v>
      </c>
    </row>
    <row r="564" spans="23:28" x14ac:dyDescent="0.3">
      <c r="W564">
        <f t="shared" si="48"/>
        <v>1.151267421042153</v>
      </c>
      <c r="Z564">
        <f t="shared" si="47"/>
        <v>10</v>
      </c>
      <c r="AA564">
        <f t="shared" si="49"/>
        <v>8.4496849265355287</v>
      </c>
      <c r="AB564">
        <f t="shared" si="50"/>
        <v>0.74027333028292353</v>
      </c>
    </row>
    <row r="565" spans="23:28" x14ac:dyDescent="0.3">
      <c r="W565">
        <f t="shared" si="48"/>
        <v>1.1549787815758645</v>
      </c>
      <c r="Z565">
        <f t="shared" si="47"/>
        <v>10</v>
      </c>
      <c r="AA565">
        <f t="shared" si="49"/>
        <v>8.4459735660018165</v>
      </c>
      <c r="AB565">
        <f t="shared" si="50"/>
        <v>0.71945185286861368</v>
      </c>
    </row>
    <row r="566" spans="23:28" x14ac:dyDescent="0.3">
      <c r="W566">
        <f t="shared" si="48"/>
        <v>1.1609627321979774</v>
      </c>
      <c r="Z566">
        <f t="shared" si="47"/>
        <v>10</v>
      </c>
      <c r="AA566">
        <f t="shared" si="49"/>
        <v>8.4399896153797052</v>
      </c>
      <c r="AB566">
        <f t="shared" si="50"/>
        <v>0.69510299977692602</v>
      </c>
    </row>
    <row r="567" spans="23:28" x14ac:dyDescent="0.3">
      <c r="W567">
        <f t="shared" si="48"/>
        <v>1.1702952871421346</v>
      </c>
      <c r="Z567">
        <f t="shared" si="47"/>
        <v>10</v>
      </c>
      <c r="AA567">
        <f t="shared" si="49"/>
        <v>8.4306570604355464</v>
      </c>
      <c r="AB567">
        <f t="shared" si="50"/>
        <v>0.66827742889075359</v>
      </c>
    </row>
    <row r="568" spans="23:28" x14ac:dyDescent="0.3">
      <c r="W568">
        <f t="shared" si="48"/>
        <v>1.1856465819804098</v>
      </c>
      <c r="Z568">
        <f t="shared" si="47"/>
        <v>10</v>
      </c>
      <c r="AA568">
        <f t="shared" si="49"/>
        <v>8.4153057655972709</v>
      </c>
      <c r="AB568">
        <f t="shared" si="50"/>
        <v>0.63793671515432082</v>
      </c>
    </row>
    <row r="569" spans="23:28" x14ac:dyDescent="0.3">
      <c r="W569">
        <f t="shared" si="48"/>
        <v>1.211044209731627</v>
      </c>
      <c r="Z569">
        <f t="shared" si="47"/>
        <v>10</v>
      </c>
      <c r="AA569">
        <f t="shared" si="49"/>
        <v>8.3899081378460547</v>
      </c>
      <c r="AB569">
        <f t="shared" si="50"/>
        <v>0.60451895949480172</v>
      </c>
    </row>
    <row r="570" spans="23:28" x14ac:dyDescent="0.3">
      <c r="W570">
        <f t="shared" si="48"/>
        <v>1.2547271862495781</v>
      </c>
      <c r="Z570">
        <f t="shared" si="47"/>
        <v>10</v>
      </c>
      <c r="AA570">
        <f t="shared" si="49"/>
        <v>8.3462251613281033</v>
      </c>
      <c r="AB570">
        <f t="shared" si="50"/>
        <v>0.56764407327826527</v>
      </c>
    </row>
    <row r="571" spans="23:28" x14ac:dyDescent="0.3">
      <c r="W571">
        <f t="shared" si="48"/>
        <v>1.3307024787234873</v>
      </c>
      <c r="Z571">
        <f t="shared" si="47"/>
        <v>10</v>
      </c>
      <c r="AA571">
        <f t="shared" si="49"/>
        <v>8.2702498688541937</v>
      </c>
      <c r="AB571">
        <f t="shared" si="50"/>
        <v>0.52819919103708846</v>
      </c>
    </row>
    <row r="572" spans="23:28" x14ac:dyDescent="0.3">
      <c r="W572">
        <f t="shared" si="48"/>
        <v>1.4677546166840529</v>
      </c>
      <c r="Z572">
        <f t="shared" si="47"/>
        <v>10</v>
      </c>
      <c r="AA572">
        <f t="shared" si="49"/>
        <v>8.1331977308936292</v>
      </c>
      <c r="AB572">
        <f t="shared" si="50"/>
        <v>0.48656332837244431</v>
      </c>
    </row>
    <row r="573" spans="23:28" x14ac:dyDescent="0.3">
      <c r="W573">
        <f t="shared" si="48"/>
        <v>1.7155867526768451</v>
      </c>
      <c r="Z573">
        <f t="shared" si="47"/>
        <v>10</v>
      </c>
      <c r="AA573">
        <f t="shared" si="49"/>
        <v>7.8853655949008363</v>
      </c>
      <c r="AB573">
        <f t="shared" si="50"/>
        <v>0.44490630075061705</v>
      </c>
    </row>
    <row r="574" spans="23:28" x14ac:dyDescent="0.3">
      <c r="W574">
        <f t="shared" si="48"/>
        <v>2.1861296462312865</v>
      </c>
      <c r="Z574">
        <f t="shared" si="47"/>
        <v>10</v>
      </c>
      <c r="AA574">
        <f t="shared" si="49"/>
        <v>7.4148227013463952</v>
      </c>
      <c r="AB574">
        <f t="shared" si="50"/>
        <v>0.40422770455153728</v>
      </c>
    </row>
    <row r="575" spans="23:28" x14ac:dyDescent="0.3">
      <c r="W575">
        <f t="shared" si="48"/>
        <v>2.2783011649994576</v>
      </c>
      <c r="Z575">
        <f t="shared" si="47"/>
        <v>10</v>
      </c>
      <c r="AA575">
        <f t="shared" si="49"/>
        <v>7.3226511825782241</v>
      </c>
      <c r="AB575">
        <f t="shared" si="50"/>
        <v>0.3988654244970895</v>
      </c>
    </row>
    <row r="576" spans="23:28" x14ac:dyDescent="0.3">
      <c r="W576">
        <f t="shared" si="48"/>
        <v>0</v>
      </c>
      <c r="Z576">
        <f>Z524+1</f>
        <v>11</v>
      </c>
      <c r="AA576">
        <f t="shared" si="49"/>
        <v>7.3226511825782232</v>
      </c>
      <c r="AB576">
        <f t="shared" si="50"/>
        <v>0.98291280402450532</v>
      </c>
    </row>
    <row r="577" spans="23:28" x14ac:dyDescent="0.3">
      <c r="W577">
        <f t="shared" si="48"/>
        <v>1.1429999999999998</v>
      </c>
      <c r="Z577">
        <f t="shared" ref="Z577:Z627" si="51">Z525+1</f>
        <v>11</v>
      </c>
      <c r="AA577">
        <f t="shared" si="49"/>
        <v>6.1796511825782234</v>
      </c>
      <c r="AB577">
        <f t="shared" si="50"/>
        <v>0.98291280402450532</v>
      </c>
    </row>
    <row r="578" spans="23:28" x14ac:dyDescent="0.3">
      <c r="W578">
        <f t="shared" si="48"/>
        <v>1.1429999999999998</v>
      </c>
      <c r="Z578">
        <f t="shared" si="51"/>
        <v>11</v>
      </c>
      <c r="AA578">
        <f t="shared" si="49"/>
        <v>6.1796511825782234</v>
      </c>
      <c r="AB578">
        <f t="shared" si="50"/>
        <v>0.93029680368287238</v>
      </c>
    </row>
    <row r="579" spans="23:28" x14ac:dyDescent="0.3">
      <c r="W579">
        <f t="shared" si="48"/>
        <v>1.1430009999999997</v>
      </c>
      <c r="Z579">
        <f t="shared" si="51"/>
        <v>11</v>
      </c>
      <c r="AA579">
        <f t="shared" si="49"/>
        <v>6.1796501825782233</v>
      </c>
      <c r="AB579">
        <f t="shared" si="50"/>
        <v>0.9263375056609463</v>
      </c>
    </row>
    <row r="580" spans="23:28" x14ac:dyDescent="0.3">
      <c r="W580">
        <f t="shared" si="48"/>
        <v>1.1430019999999999</v>
      </c>
      <c r="Z580">
        <f t="shared" si="51"/>
        <v>11</v>
      </c>
      <c r="AA580">
        <f t="shared" si="49"/>
        <v>6.1796491825782232</v>
      </c>
      <c r="AB580">
        <f t="shared" si="50"/>
        <v>0.92410350289481191</v>
      </c>
    </row>
    <row r="581" spans="23:28" x14ac:dyDescent="0.3">
      <c r="W581">
        <f t="shared" si="48"/>
        <v>1.1430029999999998</v>
      </c>
      <c r="Z581">
        <f t="shared" si="51"/>
        <v>11</v>
      </c>
      <c r="AA581">
        <f t="shared" si="49"/>
        <v>6.179648182578223</v>
      </c>
      <c r="AB581">
        <f t="shared" si="50"/>
        <v>0.92246702056568797</v>
      </c>
    </row>
    <row r="582" spans="23:28" x14ac:dyDescent="0.3">
      <c r="W582">
        <f t="shared" si="48"/>
        <v>1.1430039999999997</v>
      </c>
      <c r="Z582">
        <f t="shared" si="51"/>
        <v>11</v>
      </c>
      <c r="AA582">
        <f t="shared" si="49"/>
        <v>6.1796471825782238</v>
      </c>
      <c r="AB582">
        <f t="shared" si="50"/>
        <v>0.92112545075286889</v>
      </c>
    </row>
    <row r="583" spans="23:28" x14ac:dyDescent="0.3">
      <c r="W583">
        <f t="shared" si="48"/>
        <v>1.1430049999999998</v>
      </c>
      <c r="Z583">
        <f t="shared" si="51"/>
        <v>11</v>
      </c>
      <c r="AA583">
        <f t="shared" si="49"/>
        <v>6.1796461825782236</v>
      </c>
      <c r="AB583">
        <f t="shared" si="50"/>
        <v>0.91996796940552472</v>
      </c>
    </row>
    <row r="584" spans="23:28" x14ac:dyDescent="0.3">
      <c r="W584">
        <f t="shared" si="48"/>
        <v>1.1430059999999997</v>
      </c>
      <c r="Z584">
        <f t="shared" si="51"/>
        <v>11</v>
      </c>
      <c r="AA584">
        <f t="shared" si="49"/>
        <v>6.1796451825782235</v>
      </c>
      <c r="AB584">
        <f t="shared" si="50"/>
        <v>0.91893925200966098</v>
      </c>
    </row>
    <row r="585" spans="23:28" x14ac:dyDescent="0.3">
      <c r="W585">
        <f t="shared" si="48"/>
        <v>1.1430069999999999</v>
      </c>
      <c r="Z585">
        <f t="shared" si="51"/>
        <v>11</v>
      </c>
      <c r="AA585">
        <f t="shared" si="49"/>
        <v>6.1796441825782233</v>
      </c>
      <c r="AB585">
        <f t="shared" si="50"/>
        <v>0.91800698533963754</v>
      </c>
    </row>
    <row r="586" spans="23:28" x14ac:dyDescent="0.3">
      <c r="W586">
        <f t="shared" si="48"/>
        <v>1.1430081501326101</v>
      </c>
      <c r="Z586">
        <f t="shared" si="51"/>
        <v>11</v>
      </c>
      <c r="AA586">
        <f t="shared" si="49"/>
        <v>6.1796430324456129</v>
      </c>
      <c r="AB586">
        <f t="shared" si="50"/>
        <v>0.91702734816235443</v>
      </c>
    </row>
    <row r="587" spans="23:28" x14ac:dyDescent="0.3">
      <c r="W587">
        <f t="shared" si="48"/>
        <v>1.1430095249244923</v>
      </c>
      <c r="Z587">
        <f t="shared" si="51"/>
        <v>11</v>
      </c>
      <c r="AA587">
        <f t="shared" si="49"/>
        <v>6.1796416576537307</v>
      </c>
      <c r="AB587">
        <f t="shared" si="50"/>
        <v>0.9159585801938982</v>
      </c>
    </row>
    <row r="588" spans="23:28" x14ac:dyDescent="0.3">
      <c r="W588">
        <f t="shared" si="48"/>
        <v>1.1430111673040606</v>
      </c>
      <c r="Z588">
        <f t="shared" si="51"/>
        <v>11</v>
      </c>
      <c r="AA588">
        <f t="shared" si="49"/>
        <v>6.1796400152741624</v>
      </c>
      <c r="AB588">
        <f t="shared" si="50"/>
        <v>0.91479625559011313</v>
      </c>
    </row>
    <row r="589" spans="23:28" x14ac:dyDescent="0.3">
      <c r="W589">
        <f t="shared" si="48"/>
        <v>1.1430131370239121</v>
      </c>
      <c r="Z589">
        <f t="shared" si="51"/>
        <v>11</v>
      </c>
      <c r="AA589">
        <f t="shared" si="49"/>
        <v>6.1796380455543112</v>
      </c>
      <c r="AB589">
        <f t="shared" si="50"/>
        <v>0.91353048339815646</v>
      </c>
    </row>
    <row r="590" spans="23:28" x14ac:dyDescent="0.3">
      <c r="W590">
        <f t="shared" si="48"/>
        <v>1.1430155077632504</v>
      </c>
      <c r="Z590">
        <f t="shared" si="51"/>
        <v>11</v>
      </c>
      <c r="AA590">
        <f t="shared" si="49"/>
        <v>6.179635674814973</v>
      </c>
      <c r="AB590">
        <f t="shared" si="50"/>
        <v>0.91215088532597044</v>
      </c>
    </row>
    <row r="591" spans="23:28" x14ac:dyDescent="0.3">
      <c r="W591">
        <f t="shared" si="48"/>
        <v>1.1430183719688318</v>
      </c>
      <c r="Z591">
        <f t="shared" si="51"/>
        <v>11</v>
      </c>
      <c r="AA591">
        <f t="shared" si="49"/>
        <v>6.179632810609391</v>
      </c>
      <c r="AB591">
        <f t="shared" si="50"/>
        <v>0.91064585001688003</v>
      </c>
    </row>
    <row r="592" spans="23:28" x14ac:dyDescent="0.3">
      <c r="W592">
        <f t="shared" si="48"/>
        <v>1.1430218460191757</v>
      </c>
      <c r="Z592">
        <f t="shared" si="51"/>
        <v>11</v>
      </c>
      <c r="AA592">
        <f t="shared" si="49"/>
        <v>6.1796293365590476</v>
      </c>
      <c r="AB592">
        <f t="shared" si="50"/>
        <v>0.90900246739993606</v>
      </c>
    </row>
    <row r="593" spans="23:28" x14ac:dyDescent="0.3">
      <c r="W593">
        <f t="shared" si="48"/>
        <v>1.1430260771680438</v>
      </c>
      <c r="Z593">
        <f t="shared" si="51"/>
        <v>11</v>
      </c>
      <c r="AA593">
        <f t="shared" si="49"/>
        <v>6.1796251054101798</v>
      </c>
      <c r="AB593">
        <f t="shared" si="50"/>
        <v>0.90720635607175415</v>
      </c>
    </row>
    <row r="594" spans="23:28" x14ac:dyDescent="0.3">
      <c r="W594">
        <f t="shared" si="48"/>
        <v>1.1430312526971509</v>
      </c>
      <c r="Z594">
        <f t="shared" si="51"/>
        <v>11</v>
      </c>
      <c r="AA594">
        <f t="shared" si="49"/>
        <v>6.1796199298810723</v>
      </c>
      <c r="AB594">
        <f t="shared" si="50"/>
        <v>0.90524147856173309</v>
      </c>
    </row>
    <row r="595" spans="23:28" x14ac:dyDescent="0.3">
      <c r="W595">
        <f t="shared" si="48"/>
        <v>1.1430376120900665</v>
      </c>
      <c r="Z595">
        <f t="shared" si="51"/>
        <v>11</v>
      </c>
      <c r="AA595">
        <f t="shared" si="49"/>
        <v>6.179613570488157</v>
      </c>
      <c r="AB595">
        <f t="shared" si="50"/>
        <v>0.90308992791247966</v>
      </c>
    </row>
    <row r="596" spans="23:28" x14ac:dyDescent="0.3">
      <c r="W596">
        <f t="shared" si="48"/>
        <v>1.1430454633263125</v>
      </c>
      <c r="Z596">
        <f t="shared" si="51"/>
        <v>11</v>
      </c>
      <c r="AA596">
        <f t="shared" si="49"/>
        <v>6.1796057192519109</v>
      </c>
      <c r="AB596">
        <f t="shared" si="50"/>
        <v>0.90073168239924084</v>
      </c>
    </row>
    <row r="597" spans="23:28" x14ac:dyDescent="0.3">
      <c r="W597">
        <f t="shared" si="48"/>
        <v>1.1430552048418579</v>
      </c>
      <c r="Z597">
        <f t="shared" si="51"/>
        <v>11</v>
      </c>
      <c r="AA597">
        <f t="shared" si="49"/>
        <v>6.1795959777363656</v>
      </c>
      <c r="AB597">
        <f t="shared" si="50"/>
        <v>0.89814432232808461</v>
      </c>
    </row>
    <row r="598" spans="23:28" x14ac:dyDescent="0.3">
      <c r="W598">
        <f t="shared" si="48"/>
        <v>1.1430673553416779</v>
      </c>
      <c r="Z598">
        <f t="shared" si="51"/>
        <v>11</v>
      </c>
      <c r="AA598">
        <f t="shared" si="49"/>
        <v>6.1795838272365451</v>
      </c>
      <c r="AB598">
        <f t="shared" si="50"/>
        <v>0.89530270197348261</v>
      </c>
    </row>
    <row r="599" spans="23:28" x14ac:dyDescent="0.3">
      <c r="W599">
        <f t="shared" si="48"/>
        <v>1.1430825945820569</v>
      </c>
      <c r="Z599">
        <f t="shared" si="51"/>
        <v>11</v>
      </c>
      <c r="AA599">
        <f t="shared" si="49"/>
        <v>6.1795685879961662</v>
      </c>
      <c r="AB599">
        <f t="shared" si="50"/>
        <v>0.89217856822269714</v>
      </c>
    </row>
    <row r="600" spans="23:28" x14ac:dyDescent="0.3">
      <c r="W600">
        <f t="shared" si="48"/>
        <v>1.1431018196091138</v>
      </c>
      <c r="Z600">
        <f t="shared" si="51"/>
        <v>11</v>
      </c>
      <c r="AA600">
        <f t="shared" si="49"/>
        <v>6.1795493629691096</v>
      </c>
      <c r="AB600">
        <f t="shared" si="50"/>
        <v>0.88874011591112845</v>
      </c>
    </row>
    <row r="601" spans="23:28" x14ac:dyDescent="0.3">
      <c r="W601">
        <f t="shared" si="48"/>
        <v>1.1431262229715509</v>
      </c>
      <c r="Z601">
        <f t="shared" si="51"/>
        <v>11</v>
      </c>
      <c r="AA601">
        <f t="shared" si="49"/>
        <v>6.1795249596066721</v>
      </c>
      <c r="AB601">
        <f t="shared" si="50"/>
        <v>0.88495146788830703</v>
      </c>
    </row>
    <row r="602" spans="23:28" x14ac:dyDescent="0.3">
      <c r="W602">
        <f t="shared" si="48"/>
        <v>1.1431574024708098</v>
      </c>
      <c r="Z602">
        <f t="shared" si="51"/>
        <v>11</v>
      </c>
      <c r="AA602">
        <f t="shared" si="49"/>
        <v>6.1794937801074132</v>
      </c>
      <c r="AB602">
        <f t="shared" si="50"/>
        <v>0.88077206574924116</v>
      </c>
    </row>
    <row r="603" spans="23:28" x14ac:dyDescent="0.3">
      <c r="W603">
        <f t="shared" si="48"/>
        <v>1.1431975166274602</v>
      </c>
      <c r="Z603">
        <f t="shared" si="51"/>
        <v>11</v>
      </c>
      <c r="AA603">
        <f t="shared" si="49"/>
        <v>6.1794536659507635</v>
      </c>
      <c r="AB603">
        <f t="shared" si="50"/>
        <v>0.87615595477184927</v>
      </c>
    </row>
    <row r="604" spans="23:28" x14ac:dyDescent="0.3">
      <c r="W604">
        <f t="shared" si="48"/>
        <v>1.1432495071180451</v>
      </c>
      <c r="Z604">
        <f t="shared" si="51"/>
        <v>11</v>
      </c>
      <c r="AA604">
        <f t="shared" si="49"/>
        <v>6.1794016754601779</v>
      </c>
      <c r="AB604">
        <f t="shared" si="50"/>
        <v>0.87105094411999118</v>
      </c>
    </row>
    <row r="605" spans="23:28" x14ac:dyDescent="0.3">
      <c r="W605">
        <f t="shared" si="48"/>
        <v>1.1433174204155976</v>
      </c>
      <c r="Z605">
        <f t="shared" si="51"/>
        <v>11</v>
      </c>
      <c r="AA605">
        <f t="shared" si="49"/>
        <v>6.1793337621626261</v>
      </c>
      <c r="AB605">
        <f t="shared" si="50"/>
        <v>0.86539762083250626</v>
      </c>
    </row>
    <row r="606" spans="23:28" x14ac:dyDescent="0.3">
      <c r="W606">
        <f t="shared" si="48"/>
        <v>1.1434068781193563</v>
      </c>
      <c r="Z606">
        <f t="shared" si="51"/>
        <v>11</v>
      </c>
      <c r="AA606">
        <f t="shared" si="49"/>
        <v>6.1792443044588667</v>
      </c>
      <c r="AB606">
        <f t="shared" si="50"/>
        <v>0.8591281939956712</v>
      </c>
    </row>
    <row r="607" spans="23:28" x14ac:dyDescent="0.3">
      <c r="W607">
        <f t="shared" si="48"/>
        <v>1.1435257729394583</v>
      </c>
      <c r="Z607">
        <f t="shared" si="51"/>
        <v>11</v>
      </c>
      <c r="AA607">
        <f t="shared" si="49"/>
        <v>6.1791254096387647</v>
      </c>
      <c r="AB607">
        <f t="shared" si="50"/>
        <v>0.85216514411116695</v>
      </c>
    </row>
    <row r="608" spans="23:28" x14ac:dyDescent="0.3">
      <c r="W608">
        <f t="shared" si="48"/>
        <v>1.1436853116960297</v>
      </c>
      <c r="Z608">
        <f t="shared" si="51"/>
        <v>11</v>
      </c>
      <c r="AA608">
        <f t="shared" si="49"/>
        <v>6.1789658708821937</v>
      </c>
      <c r="AB608">
        <f t="shared" si="50"/>
        <v>0.84441965326912749</v>
      </c>
    </row>
    <row r="609" spans="23:28" x14ac:dyDescent="0.3">
      <c r="W609">
        <f t="shared" si="48"/>
        <v>1.143901599497658</v>
      </c>
      <c r="Z609">
        <f t="shared" si="51"/>
        <v>11</v>
      </c>
      <c r="AA609">
        <f t="shared" si="49"/>
        <v>6.178749583080565</v>
      </c>
      <c r="AB609">
        <f t="shared" si="50"/>
        <v>0.8357897958054098</v>
      </c>
    </row>
    <row r="610" spans="23:28" x14ac:dyDescent="0.3">
      <c r="W610">
        <f t="shared" si="48"/>
        <v>1.1441980805681298</v>
      </c>
      <c r="Z610">
        <f t="shared" si="51"/>
        <v>11</v>
      </c>
      <c r="AA610">
        <f t="shared" si="49"/>
        <v>6.1784531020100939</v>
      </c>
      <c r="AB610">
        <f t="shared" si="50"/>
        <v>0.82615847988380908</v>
      </c>
    </row>
    <row r="611" spans="23:28" x14ac:dyDescent="0.3">
      <c r="W611">
        <f t="shared" si="48"/>
        <v>1.1446093567063613</v>
      </c>
      <c r="Z611">
        <f t="shared" si="51"/>
        <v>11</v>
      </c>
      <c r="AA611">
        <f t="shared" si="49"/>
        <v>6.1780418258718619</v>
      </c>
      <c r="AB611">
        <f t="shared" si="50"/>
        <v>0.8153911530387663</v>
      </c>
    </row>
    <row r="612" spans="23:28" x14ac:dyDescent="0.3">
      <c r="W612">
        <f t="shared" si="48"/>
        <v>1.1451872587163414</v>
      </c>
      <c r="Z612">
        <f t="shared" si="51"/>
        <v>11</v>
      </c>
      <c r="AA612">
        <f t="shared" si="49"/>
        <v>6.1774639238618816</v>
      </c>
      <c r="AB612">
        <f t="shared" si="50"/>
        <v>0.80333332837909754</v>
      </c>
    </row>
    <row r="613" spans="23:28" x14ac:dyDescent="0.3">
      <c r="W613">
        <f t="shared" si="48"/>
        <v>1.1460106684293483</v>
      </c>
      <c r="Z613">
        <f t="shared" si="51"/>
        <v>11</v>
      </c>
      <c r="AA613">
        <f t="shared" si="49"/>
        <v>6.1766405141488754</v>
      </c>
      <c r="AB613">
        <f t="shared" si="50"/>
        <v>0.78980806865897468</v>
      </c>
    </row>
    <row r="614" spans="23:28" x14ac:dyDescent="0.3">
      <c r="W614">
        <f t="shared" si="48"/>
        <v>1.1472017026793939</v>
      </c>
      <c r="Z614">
        <f t="shared" si="51"/>
        <v>11</v>
      </c>
      <c r="AA614">
        <f t="shared" si="49"/>
        <v>6.1754494798988295</v>
      </c>
      <c r="AB614">
        <f t="shared" si="50"/>
        <v>0.77461508690290759</v>
      </c>
    </row>
    <row r="615" spans="23:28" x14ac:dyDescent="0.3">
      <c r="W615">
        <f t="shared" si="48"/>
        <v>1.14862563631224</v>
      </c>
      <c r="Z615">
        <f t="shared" si="51"/>
        <v>11</v>
      </c>
      <c r="AA615">
        <f t="shared" si="49"/>
        <v>6.174025546265983</v>
      </c>
      <c r="AB615">
        <f t="shared" si="50"/>
        <v>0.76038690457725777</v>
      </c>
    </row>
    <row r="616" spans="23:28" x14ac:dyDescent="0.3">
      <c r="W616">
        <f t="shared" si="48"/>
        <v>1.151267421042153</v>
      </c>
      <c r="Z616">
        <f t="shared" si="51"/>
        <v>11</v>
      </c>
      <c r="AA616">
        <f t="shared" si="49"/>
        <v>6.1713837615360703</v>
      </c>
      <c r="AB616">
        <f t="shared" si="50"/>
        <v>0.74027333028292353</v>
      </c>
    </row>
    <row r="617" spans="23:28" x14ac:dyDescent="0.3">
      <c r="W617">
        <f t="shared" si="48"/>
        <v>1.1549787815758645</v>
      </c>
      <c r="Z617">
        <f t="shared" si="51"/>
        <v>11</v>
      </c>
      <c r="AA617">
        <f t="shared" si="49"/>
        <v>6.1676724010023589</v>
      </c>
      <c r="AB617">
        <f t="shared" si="50"/>
        <v>0.71945185286861368</v>
      </c>
    </row>
    <row r="618" spans="23:28" x14ac:dyDescent="0.3">
      <c r="W618">
        <f t="shared" si="48"/>
        <v>1.1609627321979774</v>
      </c>
      <c r="Z618">
        <f t="shared" si="51"/>
        <v>11</v>
      </c>
      <c r="AA618">
        <f t="shared" si="49"/>
        <v>6.1616884503802458</v>
      </c>
      <c r="AB618">
        <f t="shared" si="50"/>
        <v>0.69510299977692602</v>
      </c>
    </row>
    <row r="619" spans="23:28" x14ac:dyDescent="0.3">
      <c r="W619">
        <f t="shared" si="48"/>
        <v>1.1702952871421346</v>
      </c>
      <c r="Z619">
        <f t="shared" si="51"/>
        <v>11</v>
      </c>
      <c r="AA619">
        <f t="shared" si="49"/>
        <v>6.1523558954360889</v>
      </c>
      <c r="AB619">
        <f t="shared" si="50"/>
        <v>0.66827742889075359</v>
      </c>
    </row>
    <row r="620" spans="23:28" x14ac:dyDescent="0.3">
      <c r="W620">
        <f t="shared" si="48"/>
        <v>1.1856465819804098</v>
      </c>
      <c r="Z620">
        <f t="shared" si="51"/>
        <v>11</v>
      </c>
      <c r="AA620">
        <f t="shared" si="49"/>
        <v>6.1370046005978134</v>
      </c>
      <c r="AB620">
        <f t="shared" si="50"/>
        <v>0.63793671515432082</v>
      </c>
    </row>
    <row r="621" spans="23:28" x14ac:dyDescent="0.3">
      <c r="W621">
        <f t="shared" ref="W621:W684" si="52">W569</f>
        <v>1.211044209731627</v>
      </c>
      <c r="Z621">
        <f t="shared" si="51"/>
        <v>11</v>
      </c>
      <c r="AA621">
        <f t="shared" ref="AA621:AA684" si="53">$AA$55-(Z621-1)*$X$51-W621</f>
        <v>6.1116069728465963</v>
      </c>
      <c r="AB621">
        <f t="shared" ref="AB621:AB684" si="54">AB569</f>
        <v>0.60451895949480172</v>
      </c>
    </row>
    <row r="622" spans="23:28" x14ac:dyDescent="0.3">
      <c r="W622">
        <f t="shared" si="52"/>
        <v>1.2547271862495781</v>
      </c>
      <c r="Z622">
        <f t="shared" si="51"/>
        <v>11</v>
      </c>
      <c r="AA622">
        <f t="shared" si="53"/>
        <v>6.0679239963286449</v>
      </c>
      <c r="AB622">
        <f t="shared" si="54"/>
        <v>0.56764407327826527</v>
      </c>
    </row>
    <row r="623" spans="23:28" x14ac:dyDescent="0.3">
      <c r="W623">
        <f t="shared" si="52"/>
        <v>1.3307024787234873</v>
      </c>
      <c r="Z623">
        <f t="shared" si="51"/>
        <v>11</v>
      </c>
      <c r="AA623">
        <f t="shared" si="53"/>
        <v>5.9919487038547361</v>
      </c>
      <c r="AB623">
        <f t="shared" si="54"/>
        <v>0.52819919103708846</v>
      </c>
    </row>
    <row r="624" spans="23:28" x14ac:dyDescent="0.3">
      <c r="W624">
        <f t="shared" si="52"/>
        <v>1.4677546166840529</v>
      </c>
      <c r="Z624">
        <f t="shared" si="51"/>
        <v>11</v>
      </c>
      <c r="AA624">
        <f t="shared" si="53"/>
        <v>5.8548965658941707</v>
      </c>
      <c r="AB624">
        <f t="shared" si="54"/>
        <v>0.48656332837244431</v>
      </c>
    </row>
    <row r="625" spans="23:28" x14ac:dyDescent="0.3">
      <c r="W625">
        <f t="shared" si="52"/>
        <v>1.7155867526768451</v>
      </c>
      <c r="Z625">
        <f t="shared" si="51"/>
        <v>11</v>
      </c>
      <c r="AA625">
        <f t="shared" si="53"/>
        <v>5.6070644299013779</v>
      </c>
      <c r="AB625">
        <f t="shared" si="54"/>
        <v>0.44490630075061705</v>
      </c>
    </row>
    <row r="626" spans="23:28" x14ac:dyDescent="0.3">
      <c r="W626">
        <f t="shared" si="52"/>
        <v>2.1861296462312865</v>
      </c>
      <c r="Z626">
        <f t="shared" si="51"/>
        <v>11</v>
      </c>
      <c r="AA626">
        <f t="shared" si="53"/>
        <v>5.1365215363469368</v>
      </c>
      <c r="AB626">
        <f t="shared" si="54"/>
        <v>0.40422770455153728</v>
      </c>
    </row>
    <row r="627" spans="23:28" x14ac:dyDescent="0.3">
      <c r="W627">
        <f t="shared" si="52"/>
        <v>2.2783011649994576</v>
      </c>
      <c r="Z627">
        <f t="shared" si="51"/>
        <v>11</v>
      </c>
      <c r="AA627">
        <f t="shared" si="53"/>
        <v>5.0443500175787657</v>
      </c>
      <c r="AB627">
        <f t="shared" si="54"/>
        <v>0.3988654244970895</v>
      </c>
    </row>
    <row r="628" spans="23:28" x14ac:dyDescent="0.3">
      <c r="W628">
        <f t="shared" si="52"/>
        <v>0</v>
      </c>
      <c r="Z628">
        <f>Z576+1</f>
        <v>12</v>
      </c>
      <c r="AA628">
        <f t="shared" si="53"/>
        <v>5.0443500175787683</v>
      </c>
      <c r="AB628">
        <f t="shared" si="54"/>
        <v>0.98291280402450532</v>
      </c>
    </row>
    <row r="629" spans="23:28" x14ac:dyDescent="0.3">
      <c r="W629">
        <f t="shared" si="52"/>
        <v>1.1429999999999998</v>
      </c>
      <c r="Z629">
        <f t="shared" ref="Z629:Z679" si="55">Z577+1</f>
        <v>12</v>
      </c>
      <c r="AA629">
        <f t="shared" si="53"/>
        <v>3.9013500175787685</v>
      </c>
      <c r="AB629">
        <f t="shared" si="54"/>
        <v>0.98291280402450532</v>
      </c>
    </row>
    <row r="630" spans="23:28" x14ac:dyDescent="0.3">
      <c r="W630">
        <f t="shared" si="52"/>
        <v>1.1429999999999998</v>
      </c>
      <c r="Z630">
        <f t="shared" si="55"/>
        <v>12</v>
      </c>
      <c r="AA630">
        <f t="shared" si="53"/>
        <v>3.9013500175787685</v>
      </c>
      <c r="AB630">
        <f t="shared" si="54"/>
        <v>0.93029680368287238</v>
      </c>
    </row>
    <row r="631" spans="23:28" x14ac:dyDescent="0.3">
      <c r="W631">
        <f t="shared" si="52"/>
        <v>1.1430009999999997</v>
      </c>
      <c r="Z631">
        <f t="shared" si="55"/>
        <v>12</v>
      </c>
      <c r="AA631">
        <f t="shared" si="53"/>
        <v>3.9013490175787684</v>
      </c>
      <c r="AB631">
        <f t="shared" si="54"/>
        <v>0.9263375056609463</v>
      </c>
    </row>
    <row r="632" spans="23:28" x14ac:dyDescent="0.3">
      <c r="W632">
        <f t="shared" si="52"/>
        <v>1.1430019999999999</v>
      </c>
      <c r="Z632">
        <f t="shared" si="55"/>
        <v>12</v>
      </c>
      <c r="AA632">
        <f t="shared" si="53"/>
        <v>3.9013480175787683</v>
      </c>
      <c r="AB632">
        <f t="shared" si="54"/>
        <v>0.92410350289481191</v>
      </c>
    </row>
    <row r="633" spans="23:28" x14ac:dyDescent="0.3">
      <c r="W633">
        <f t="shared" si="52"/>
        <v>1.1430029999999998</v>
      </c>
      <c r="Z633">
        <f t="shared" si="55"/>
        <v>12</v>
      </c>
      <c r="AA633">
        <f t="shared" si="53"/>
        <v>3.9013470175787686</v>
      </c>
      <c r="AB633">
        <f t="shared" si="54"/>
        <v>0.92246702056568797</v>
      </c>
    </row>
    <row r="634" spans="23:28" x14ac:dyDescent="0.3">
      <c r="W634">
        <f t="shared" si="52"/>
        <v>1.1430039999999997</v>
      </c>
      <c r="Z634">
        <f t="shared" si="55"/>
        <v>12</v>
      </c>
      <c r="AA634">
        <f t="shared" si="53"/>
        <v>3.9013460175787689</v>
      </c>
      <c r="AB634">
        <f t="shared" si="54"/>
        <v>0.92112545075286889</v>
      </c>
    </row>
    <row r="635" spans="23:28" x14ac:dyDescent="0.3">
      <c r="W635">
        <f t="shared" si="52"/>
        <v>1.1430049999999998</v>
      </c>
      <c r="Z635">
        <f t="shared" si="55"/>
        <v>12</v>
      </c>
      <c r="AA635">
        <f t="shared" si="53"/>
        <v>3.9013450175787687</v>
      </c>
      <c r="AB635">
        <f t="shared" si="54"/>
        <v>0.91996796940552472</v>
      </c>
    </row>
    <row r="636" spans="23:28" x14ac:dyDescent="0.3">
      <c r="W636">
        <f t="shared" si="52"/>
        <v>1.1430059999999997</v>
      </c>
      <c r="Z636">
        <f t="shared" si="55"/>
        <v>12</v>
      </c>
      <c r="AA636">
        <f t="shared" si="53"/>
        <v>3.9013440175787686</v>
      </c>
      <c r="AB636">
        <f t="shared" si="54"/>
        <v>0.91893925200966098</v>
      </c>
    </row>
    <row r="637" spans="23:28" x14ac:dyDescent="0.3">
      <c r="W637">
        <f t="shared" si="52"/>
        <v>1.1430069999999999</v>
      </c>
      <c r="Z637">
        <f t="shared" si="55"/>
        <v>12</v>
      </c>
      <c r="AA637">
        <f t="shared" si="53"/>
        <v>3.9013430175787684</v>
      </c>
      <c r="AB637">
        <f t="shared" si="54"/>
        <v>0.91800698533963754</v>
      </c>
    </row>
    <row r="638" spans="23:28" x14ac:dyDescent="0.3">
      <c r="W638">
        <f t="shared" si="52"/>
        <v>1.1430081501326101</v>
      </c>
      <c r="Z638">
        <f t="shared" si="55"/>
        <v>12</v>
      </c>
      <c r="AA638">
        <f t="shared" si="53"/>
        <v>3.901341867446158</v>
      </c>
      <c r="AB638">
        <f t="shared" si="54"/>
        <v>0.91702734816235443</v>
      </c>
    </row>
    <row r="639" spans="23:28" x14ac:dyDescent="0.3">
      <c r="W639">
        <f t="shared" si="52"/>
        <v>1.1430095249244923</v>
      </c>
      <c r="Z639">
        <f t="shared" si="55"/>
        <v>12</v>
      </c>
      <c r="AA639">
        <f t="shared" si="53"/>
        <v>3.9013404926542758</v>
      </c>
      <c r="AB639">
        <f t="shared" si="54"/>
        <v>0.9159585801938982</v>
      </c>
    </row>
    <row r="640" spans="23:28" x14ac:dyDescent="0.3">
      <c r="W640">
        <f t="shared" si="52"/>
        <v>1.1430111673040606</v>
      </c>
      <c r="Z640">
        <f t="shared" si="55"/>
        <v>12</v>
      </c>
      <c r="AA640">
        <f t="shared" si="53"/>
        <v>3.9013388502747075</v>
      </c>
      <c r="AB640">
        <f t="shared" si="54"/>
        <v>0.91479625559011313</v>
      </c>
    </row>
    <row r="641" spans="23:28" x14ac:dyDescent="0.3">
      <c r="W641">
        <f t="shared" si="52"/>
        <v>1.1430131370239121</v>
      </c>
      <c r="Z641">
        <f t="shared" si="55"/>
        <v>12</v>
      </c>
      <c r="AA641">
        <f t="shared" si="53"/>
        <v>3.9013368805548563</v>
      </c>
      <c r="AB641">
        <f t="shared" si="54"/>
        <v>0.91353048339815646</v>
      </c>
    </row>
    <row r="642" spans="23:28" x14ac:dyDescent="0.3">
      <c r="W642">
        <f t="shared" si="52"/>
        <v>1.1430155077632504</v>
      </c>
      <c r="Z642">
        <f t="shared" si="55"/>
        <v>12</v>
      </c>
      <c r="AA642">
        <f t="shared" si="53"/>
        <v>3.9013345098155181</v>
      </c>
      <c r="AB642">
        <f t="shared" si="54"/>
        <v>0.91215088532597044</v>
      </c>
    </row>
    <row r="643" spans="23:28" x14ac:dyDescent="0.3">
      <c r="W643">
        <f t="shared" si="52"/>
        <v>1.1430183719688318</v>
      </c>
      <c r="Z643">
        <f t="shared" si="55"/>
        <v>12</v>
      </c>
      <c r="AA643">
        <f t="shared" si="53"/>
        <v>3.9013316456099365</v>
      </c>
      <c r="AB643">
        <f t="shared" si="54"/>
        <v>0.91064585001688003</v>
      </c>
    </row>
    <row r="644" spans="23:28" x14ac:dyDescent="0.3">
      <c r="W644">
        <f t="shared" si="52"/>
        <v>1.1430218460191757</v>
      </c>
      <c r="Z644">
        <f t="shared" si="55"/>
        <v>12</v>
      </c>
      <c r="AA644">
        <f t="shared" si="53"/>
        <v>3.9013281715595927</v>
      </c>
      <c r="AB644">
        <f t="shared" si="54"/>
        <v>0.90900246739993606</v>
      </c>
    </row>
    <row r="645" spans="23:28" x14ac:dyDescent="0.3">
      <c r="W645">
        <f t="shared" si="52"/>
        <v>1.1430260771680438</v>
      </c>
      <c r="Z645">
        <f t="shared" si="55"/>
        <v>12</v>
      </c>
      <c r="AA645">
        <f t="shared" si="53"/>
        <v>3.9013239404107245</v>
      </c>
      <c r="AB645">
        <f t="shared" si="54"/>
        <v>0.90720635607175415</v>
      </c>
    </row>
    <row r="646" spans="23:28" x14ac:dyDescent="0.3">
      <c r="W646">
        <f t="shared" si="52"/>
        <v>1.1430312526971509</v>
      </c>
      <c r="Z646">
        <f t="shared" si="55"/>
        <v>12</v>
      </c>
      <c r="AA646">
        <f t="shared" si="53"/>
        <v>3.9013187648816174</v>
      </c>
      <c r="AB646">
        <f t="shared" si="54"/>
        <v>0.90524147856173309</v>
      </c>
    </row>
    <row r="647" spans="23:28" x14ac:dyDescent="0.3">
      <c r="W647">
        <f t="shared" si="52"/>
        <v>1.1430376120900665</v>
      </c>
      <c r="Z647">
        <f t="shared" si="55"/>
        <v>12</v>
      </c>
      <c r="AA647">
        <f t="shared" si="53"/>
        <v>3.9013124054887021</v>
      </c>
      <c r="AB647">
        <f t="shared" si="54"/>
        <v>0.90308992791247966</v>
      </c>
    </row>
    <row r="648" spans="23:28" x14ac:dyDescent="0.3">
      <c r="W648">
        <f t="shared" si="52"/>
        <v>1.1430454633263125</v>
      </c>
      <c r="Z648">
        <f t="shared" si="55"/>
        <v>12</v>
      </c>
      <c r="AA648">
        <f t="shared" si="53"/>
        <v>3.901304554252456</v>
      </c>
      <c r="AB648">
        <f t="shared" si="54"/>
        <v>0.90073168239924084</v>
      </c>
    </row>
    <row r="649" spans="23:28" x14ac:dyDescent="0.3">
      <c r="W649">
        <f t="shared" si="52"/>
        <v>1.1430552048418579</v>
      </c>
      <c r="Z649">
        <f t="shared" si="55"/>
        <v>12</v>
      </c>
      <c r="AA649">
        <f t="shared" si="53"/>
        <v>3.9012948127369107</v>
      </c>
      <c r="AB649">
        <f t="shared" si="54"/>
        <v>0.89814432232808461</v>
      </c>
    </row>
    <row r="650" spans="23:28" x14ac:dyDescent="0.3">
      <c r="W650">
        <f t="shared" si="52"/>
        <v>1.1430673553416779</v>
      </c>
      <c r="Z650">
        <f t="shared" si="55"/>
        <v>12</v>
      </c>
      <c r="AA650">
        <f t="shared" si="53"/>
        <v>3.9012826622370902</v>
      </c>
      <c r="AB650">
        <f t="shared" si="54"/>
        <v>0.89530270197348261</v>
      </c>
    </row>
    <row r="651" spans="23:28" x14ac:dyDescent="0.3">
      <c r="W651">
        <f t="shared" si="52"/>
        <v>1.1430825945820569</v>
      </c>
      <c r="Z651">
        <f t="shared" si="55"/>
        <v>12</v>
      </c>
      <c r="AA651">
        <f t="shared" si="53"/>
        <v>3.9012674229967113</v>
      </c>
      <c r="AB651">
        <f t="shared" si="54"/>
        <v>0.89217856822269714</v>
      </c>
    </row>
    <row r="652" spans="23:28" x14ac:dyDescent="0.3">
      <c r="W652">
        <f t="shared" si="52"/>
        <v>1.1431018196091138</v>
      </c>
      <c r="Z652">
        <f t="shared" si="55"/>
        <v>12</v>
      </c>
      <c r="AA652">
        <f t="shared" si="53"/>
        <v>3.9012481979696547</v>
      </c>
      <c r="AB652">
        <f t="shared" si="54"/>
        <v>0.88874011591112845</v>
      </c>
    </row>
    <row r="653" spans="23:28" x14ac:dyDescent="0.3">
      <c r="W653">
        <f t="shared" si="52"/>
        <v>1.1431262229715509</v>
      </c>
      <c r="Z653">
        <f t="shared" si="55"/>
        <v>12</v>
      </c>
      <c r="AA653">
        <f t="shared" si="53"/>
        <v>3.9012237946072172</v>
      </c>
      <c r="AB653">
        <f t="shared" si="54"/>
        <v>0.88495146788830703</v>
      </c>
    </row>
    <row r="654" spans="23:28" x14ac:dyDescent="0.3">
      <c r="W654">
        <f t="shared" si="52"/>
        <v>1.1431574024708098</v>
      </c>
      <c r="Z654">
        <f t="shared" si="55"/>
        <v>12</v>
      </c>
      <c r="AA654">
        <f t="shared" si="53"/>
        <v>3.9011926151079583</v>
      </c>
      <c r="AB654">
        <f t="shared" si="54"/>
        <v>0.88077206574924116</v>
      </c>
    </row>
    <row r="655" spans="23:28" x14ac:dyDescent="0.3">
      <c r="W655">
        <f t="shared" si="52"/>
        <v>1.1431975166274602</v>
      </c>
      <c r="Z655">
        <f t="shared" si="55"/>
        <v>12</v>
      </c>
      <c r="AA655">
        <f t="shared" si="53"/>
        <v>3.9011525009513082</v>
      </c>
      <c r="AB655">
        <f t="shared" si="54"/>
        <v>0.87615595477184927</v>
      </c>
    </row>
    <row r="656" spans="23:28" x14ac:dyDescent="0.3">
      <c r="W656">
        <f t="shared" si="52"/>
        <v>1.1432495071180451</v>
      </c>
      <c r="Z656">
        <f t="shared" si="55"/>
        <v>12</v>
      </c>
      <c r="AA656">
        <f t="shared" si="53"/>
        <v>3.901100510460723</v>
      </c>
      <c r="AB656">
        <f t="shared" si="54"/>
        <v>0.87105094411999118</v>
      </c>
    </row>
    <row r="657" spans="23:28" x14ac:dyDescent="0.3">
      <c r="W657">
        <f t="shared" si="52"/>
        <v>1.1433174204155976</v>
      </c>
      <c r="Z657">
        <f t="shared" si="55"/>
        <v>12</v>
      </c>
      <c r="AA657">
        <f t="shared" si="53"/>
        <v>3.9010325971631707</v>
      </c>
      <c r="AB657">
        <f t="shared" si="54"/>
        <v>0.86539762083250626</v>
      </c>
    </row>
    <row r="658" spans="23:28" x14ac:dyDescent="0.3">
      <c r="W658">
        <f t="shared" si="52"/>
        <v>1.1434068781193563</v>
      </c>
      <c r="Z658">
        <f t="shared" si="55"/>
        <v>12</v>
      </c>
      <c r="AA658">
        <f t="shared" si="53"/>
        <v>3.9009431394594118</v>
      </c>
      <c r="AB658">
        <f t="shared" si="54"/>
        <v>0.8591281939956712</v>
      </c>
    </row>
    <row r="659" spans="23:28" x14ac:dyDescent="0.3">
      <c r="W659">
        <f t="shared" si="52"/>
        <v>1.1435257729394583</v>
      </c>
      <c r="Z659">
        <f t="shared" si="55"/>
        <v>12</v>
      </c>
      <c r="AA659">
        <f t="shared" si="53"/>
        <v>3.9008242446393098</v>
      </c>
      <c r="AB659">
        <f t="shared" si="54"/>
        <v>0.85216514411116695</v>
      </c>
    </row>
    <row r="660" spans="23:28" x14ac:dyDescent="0.3">
      <c r="W660">
        <f t="shared" si="52"/>
        <v>1.1436853116960297</v>
      </c>
      <c r="Z660">
        <f t="shared" si="55"/>
        <v>12</v>
      </c>
      <c r="AA660">
        <f t="shared" si="53"/>
        <v>3.9006647058827388</v>
      </c>
      <c r="AB660">
        <f t="shared" si="54"/>
        <v>0.84441965326912749</v>
      </c>
    </row>
    <row r="661" spans="23:28" x14ac:dyDescent="0.3">
      <c r="W661">
        <f t="shared" si="52"/>
        <v>1.143901599497658</v>
      </c>
      <c r="Z661">
        <f t="shared" si="55"/>
        <v>12</v>
      </c>
      <c r="AA661">
        <f t="shared" si="53"/>
        <v>3.9004484180811101</v>
      </c>
      <c r="AB661">
        <f t="shared" si="54"/>
        <v>0.8357897958054098</v>
      </c>
    </row>
    <row r="662" spans="23:28" x14ac:dyDescent="0.3">
      <c r="W662">
        <f t="shared" si="52"/>
        <v>1.1441980805681298</v>
      </c>
      <c r="Z662">
        <f t="shared" si="55"/>
        <v>12</v>
      </c>
      <c r="AA662">
        <f t="shared" si="53"/>
        <v>3.9001519370106386</v>
      </c>
      <c r="AB662">
        <f t="shared" si="54"/>
        <v>0.82615847988380908</v>
      </c>
    </row>
    <row r="663" spans="23:28" x14ac:dyDescent="0.3">
      <c r="W663">
        <f t="shared" si="52"/>
        <v>1.1446093567063613</v>
      </c>
      <c r="Z663">
        <f t="shared" si="55"/>
        <v>12</v>
      </c>
      <c r="AA663">
        <f t="shared" si="53"/>
        <v>3.899740660872407</v>
      </c>
      <c r="AB663">
        <f t="shared" si="54"/>
        <v>0.8153911530387663</v>
      </c>
    </row>
    <row r="664" spans="23:28" x14ac:dyDescent="0.3">
      <c r="W664">
        <f t="shared" si="52"/>
        <v>1.1451872587163414</v>
      </c>
      <c r="Z664">
        <f t="shared" si="55"/>
        <v>12</v>
      </c>
      <c r="AA664">
        <f t="shared" si="53"/>
        <v>3.8991627588624267</v>
      </c>
      <c r="AB664">
        <f t="shared" si="54"/>
        <v>0.80333332837909754</v>
      </c>
    </row>
    <row r="665" spans="23:28" x14ac:dyDescent="0.3">
      <c r="W665">
        <f t="shared" si="52"/>
        <v>1.1460106684293483</v>
      </c>
      <c r="Z665">
        <f t="shared" si="55"/>
        <v>12</v>
      </c>
      <c r="AA665">
        <f t="shared" si="53"/>
        <v>3.89833934914942</v>
      </c>
      <c r="AB665">
        <f t="shared" si="54"/>
        <v>0.78980806865897468</v>
      </c>
    </row>
    <row r="666" spans="23:28" x14ac:dyDescent="0.3">
      <c r="W666">
        <f t="shared" si="52"/>
        <v>1.1472017026793939</v>
      </c>
      <c r="Z666">
        <f t="shared" si="55"/>
        <v>12</v>
      </c>
      <c r="AA666">
        <f t="shared" si="53"/>
        <v>3.8971483148993746</v>
      </c>
      <c r="AB666">
        <f t="shared" si="54"/>
        <v>0.77461508690290759</v>
      </c>
    </row>
    <row r="667" spans="23:28" x14ac:dyDescent="0.3">
      <c r="W667">
        <f t="shared" si="52"/>
        <v>1.14862563631224</v>
      </c>
      <c r="Z667">
        <f t="shared" si="55"/>
        <v>12</v>
      </c>
      <c r="AA667">
        <f t="shared" si="53"/>
        <v>3.8957243812665281</v>
      </c>
      <c r="AB667">
        <f t="shared" si="54"/>
        <v>0.76038690457725777</v>
      </c>
    </row>
    <row r="668" spans="23:28" x14ac:dyDescent="0.3">
      <c r="W668">
        <f t="shared" si="52"/>
        <v>1.151267421042153</v>
      </c>
      <c r="Z668">
        <f t="shared" si="55"/>
        <v>12</v>
      </c>
      <c r="AA668">
        <f t="shared" si="53"/>
        <v>3.8930825965366154</v>
      </c>
      <c r="AB668">
        <f t="shared" si="54"/>
        <v>0.74027333028292353</v>
      </c>
    </row>
    <row r="669" spans="23:28" x14ac:dyDescent="0.3">
      <c r="W669">
        <f t="shared" si="52"/>
        <v>1.1549787815758645</v>
      </c>
      <c r="Z669">
        <f t="shared" si="55"/>
        <v>12</v>
      </c>
      <c r="AA669">
        <f t="shared" si="53"/>
        <v>3.889371236002904</v>
      </c>
      <c r="AB669">
        <f t="shared" si="54"/>
        <v>0.71945185286861368</v>
      </c>
    </row>
    <row r="670" spans="23:28" x14ac:dyDescent="0.3">
      <c r="W670">
        <f t="shared" si="52"/>
        <v>1.1609627321979774</v>
      </c>
      <c r="Z670">
        <f t="shared" si="55"/>
        <v>12</v>
      </c>
      <c r="AA670">
        <f t="shared" si="53"/>
        <v>3.8833872853807909</v>
      </c>
      <c r="AB670">
        <f t="shared" si="54"/>
        <v>0.69510299977692602</v>
      </c>
    </row>
    <row r="671" spans="23:28" x14ac:dyDescent="0.3">
      <c r="W671">
        <f t="shared" si="52"/>
        <v>1.1702952871421346</v>
      </c>
      <c r="Z671">
        <f t="shared" si="55"/>
        <v>12</v>
      </c>
      <c r="AA671">
        <f t="shared" si="53"/>
        <v>3.874054730436634</v>
      </c>
      <c r="AB671">
        <f t="shared" si="54"/>
        <v>0.66827742889075359</v>
      </c>
    </row>
    <row r="672" spans="23:28" x14ac:dyDescent="0.3">
      <c r="W672">
        <f t="shared" si="52"/>
        <v>1.1856465819804098</v>
      </c>
      <c r="Z672">
        <f t="shared" si="55"/>
        <v>12</v>
      </c>
      <c r="AA672">
        <f t="shared" si="53"/>
        <v>3.8587034355983585</v>
      </c>
      <c r="AB672">
        <f t="shared" si="54"/>
        <v>0.63793671515432082</v>
      </c>
    </row>
    <row r="673" spans="23:28" x14ac:dyDescent="0.3">
      <c r="W673">
        <f t="shared" si="52"/>
        <v>1.211044209731627</v>
      </c>
      <c r="Z673">
        <f t="shared" si="55"/>
        <v>12</v>
      </c>
      <c r="AA673">
        <f t="shared" si="53"/>
        <v>3.8333058078471414</v>
      </c>
      <c r="AB673">
        <f t="shared" si="54"/>
        <v>0.60451895949480172</v>
      </c>
    </row>
    <row r="674" spans="23:28" x14ac:dyDescent="0.3">
      <c r="W674">
        <f t="shared" si="52"/>
        <v>1.2547271862495781</v>
      </c>
      <c r="Z674">
        <f t="shared" si="55"/>
        <v>12</v>
      </c>
      <c r="AA674">
        <f t="shared" si="53"/>
        <v>3.78962283132919</v>
      </c>
      <c r="AB674">
        <f t="shared" si="54"/>
        <v>0.56764407327826527</v>
      </c>
    </row>
    <row r="675" spans="23:28" x14ac:dyDescent="0.3">
      <c r="W675">
        <f t="shared" si="52"/>
        <v>1.3307024787234873</v>
      </c>
      <c r="Z675">
        <f t="shared" si="55"/>
        <v>12</v>
      </c>
      <c r="AA675">
        <f t="shared" si="53"/>
        <v>3.7136475388552812</v>
      </c>
      <c r="AB675">
        <f t="shared" si="54"/>
        <v>0.52819919103708846</v>
      </c>
    </row>
    <row r="676" spans="23:28" x14ac:dyDescent="0.3">
      <c r="W676">
        <f t="shared" si="52"/>
        <v>1.4677546166840529</v>
      </c>
      <c r="Z676">
        <f t="shared" si="55"/>
        <v>12</v>
      </c>
      <c r="AA676">
        <f t="shared" si="53"/>
        <v>3.5765954008947154</v>
      </c>
      <c r="AB676">
        <f t="shared" si="54"/>
        <v>0.48656332837244431</v>
      </c>
    </row>
    <row r="677" spans="23:28" x14ac:dyDescent="0.3">
      <c r="W677">
        <f t="shared" si="52"/>
        <v>1.7155867526768451</v>
      </c>
      <c r="Z677">
        <f t="shared" si="55"/>
        <v>12</v>
      </c>
      <c r="AA677">
        <f t="shared" si="53"/>
        <v>3.328763264901923</v>
      </c>
      <c r="AB677">
        <f t="shared" si="54"/>
        <v>0.44490630075061705</v>
      </c>
    </row>
    <row r="678" spans="23:28" x14ac:dyDescent="0.3">
      <c r="W678">
        <f t="shared" si="52"/>
        <v>2.1861296462312865</v>
      </c>
      <c r="Z678">
        <f t="shared" si="55"/>
        <v>12</v>
      </c>
      <c r="AA678">
        <f t="shared" si="53"/>
        <v>2.8582203713474819</v>
      </c>
      <c r="AB678">
        <f t="shared" si="54"/>
        <v>0.40422770455153728</v>
      </c>
    </row>
    <row r="679" spans="23:28" x14ac:dyDescent="0.3">
      <c r="W679">
        <f t="shared" si="52"/>
        <v>2.2783011649994576</v>
      </c>
      <c r="Z679">
        <f t="shared" si="55"/>
        <v>12</v>
      </c>
      <c r="AA679">
        <f t="shared" si="53"/>
        <v>2.7660488525793108</v>
      </c>
      <c r="AB679">
        <f t="shared" si="54"/>
        <v>0.3988654244970895</v>
      </c>
    </row>
    <row r="680" spans="23:28" x14ac:dyDescent="0.3">
      <c r="W680">
        <f t="shared" si="52"/>
        <v>0</v>
      </c>
      <c r="Z680">
        <f>Z628+1</f>
        <v>13</v>
      </c>
      <c r="AA680">
        <f t="shared" si="53"/>
        <v>2.7660488525793099</v>
      </c>
      <c r="AB680">
        <f t="shared" si="54"/>
        <v>0.98291280402450532</v>
      </c>
    </row>
    <row r="681" spans="23:28" x14ac:dyDescent="0.3">
      <c r="W681">
        <f t="shared" si="52"/>
        <v>1.1429999999999998</v>
      </c>
      <c r="Z681">
        <f t="shared" ref="Z681:Z731" si="56">Z629+1</f>
        <v>13</v>
      </c>
      <c r="AA681">
        <f t="shared" si="53"/>
        <v>1.6230488525793101</v>
      </c>
      <c r="AB681">
        <f t="shared" si="54"/>
        <v>0.98291280402450532</v>
      </c>
    </row>
    <row r="682" spans="23:28" x14ac:dyDescent="0.3">
      <c r="W682">
        <f t="shared" si="52"/>
        <v>1.1429999999999998</v>
      </c>
      <c r="Z682">
        <f t="shared" si="56"/>
        <v>13</v>
      </c>
      <c r="AA682">
        <f t="shared" si="53"/>
        <v>1.6230488525793101</v>
      </c>
      <c r="AB682">
        <f t="shared" si="54"/>
        <v>0.93029680368287238</v>
      </c>
    </row>
    <row r="683" spans="23:28" x14ac:dyDescent="0.3">
      <c r="W683">
        <f t="shared" si="52"/>
        <v>1.1430009999999997</v>
      </c>
      <c r="Z683">
        <f t="shared" si="56"/>
        <v>13</v>
      </c>
      <c r="AA683">
        <f t="shared" si="53"/>
        <v>1.6230478525793102</v>
      </c>
      <c r="AB683">
        <f t="shared" si="54"/>
        <v>0.9263375056609463</v>
      </c>
    </row>
    <row r="684" spans="23:28" x14ac:dyDescent="0.3">
      <c r="W684">
        <f t="shared" si="52"/>
        <v>1.1430019999999999</v>
      </c>
      <c r="Z684">
        <f t="shared" si="56"/>
        <v>13</v>
      </c>
      <c r="AA684">
        <f t="shared" si="53"/>
        <v>1.62304685257931</v>
      </c>
      <c r="AB684">
        <f t="shared" si="54"/>
        <v>0.92410350289481191</v>
      </c>
    </row>
    <row r="685" spans="23:28" x14ac:dyDescent="0.3">
      <c r="W685">
        <f t="shared" ref="W685:W731" si="57">W633</f>
        <v>1.1430029999999998</v>
      </c>
      <c r="Z685">
        <f t="shared" si="56"/>
        <v>13</v>
      </c>
      <c r="AA685">
        <f t="shared" ref="AA685:AA731" si="58">$AA$55-(Z685-1)*$X$51-W685</f>
        <v>1.6230458525793101</v>
      </c>
      <c r="AB685">
        <f t="shared" ref="AB685:AB731" si="59">AB633</f>
        <v>0.92246702056568797</v>
      </c>
    </row>
    <row r="686" spans="23:28" x14ac:dyDescent="0.3">
      <c r="W686">
        <f t="shared" si="57"/>
        <v>1.1430039999999997</v>
      </c>
      <c r="Z686">
        <f t="shared" si="56"/>
        <v>13</v>
      </c>
      <c r="AA686">
        <f t="shared" si="58"/>
        <v>1.6230448525793102</v>
      </c>
      <c r="AB686">
        <f t="shared" si="59"/>
        <v>0.92112545075286889</v>
      </c>
    </row>
    <row r="687" spans="23:28" x14ac:dyDescent="0.3">
      <c r="W687">
        <f t="shared" si="57"/>
        <v>1.1430049999999998</v>
      </c>
      <c r="Z687">
        <f t="shared" si="56"/>
        <v>13</v>
      </c>
      <c r="AA687">
        <f t="shared" si="58"/>
        <v>1.6230438525793101</v>
      </c>
      <c r="AB687">
        <f t="shared" si="59"/>
        <v>0.91996796940552472</v>
      </c>
    </row>
    <row r="688" spans="23:28" x14ac:dyDescent="0.3">
      <c r="W688">
        <f t="shared" si="57"/>
        <v>1.1430059999999997</v>
      </c>
      <c r="Z688">
        <f t="shared" si="56"/>
        <v>13</v>
      </c>
      <c r="AA688">
        <f t="shared" si="58"/>
        <v>1.6230428525793101</v>
      </c>
      <c r="AB688">
        <f t="shared" si="59"/>
        <v>0.91893925200966098</v>
      </c>
    </row>
    <row r="689" spans="23:28" x14ac:dyDescent="0.3">
      <c r="W689">
        <f t="shared" si="57"/>
        <v>1.1430069999999999</v>
      </c>
      <c r="Z689">
        <f t="shared" si="56"/>
        <v>13</v>
      </c>
      <c r="AA689">
        <f t="shared" si="58"/>
        <v>1.62304185257931</v>
      </c>
      <c r="AB689">
        <f t="shared" si="59"/>
        <v>0.91800698533963754</v>
      </c>
    </row>
    <row r="690" spans="23:28" x14ac:dyDescent="0.3">
      <c r="W690">
        <f t="shared" si="57"/>
        <v>1.1430081501326101</v>
      </c>
      <c r="Z690">
        <f t="shared" si="56"/>
        <v>13</v>
      </c>
      <c r="AA690">
        <f t="shared" si="58"/>
        <v>1.6230407024466997</v>
      </c>
      <c r="AB690">
        <f t="shared" si="59"/>
        <v>0.91702734816235443</v>
      </c>
    </row>
    <row r="691" spans="23:28" x14ac:dyDescent="0.3">
      <c r="W691">
        <f t="shared" si="57"/>
        <v>1.1430095249244923</v>
      </c>
      <c r="Z691">
        <f t="shared" si="56"/>
        <v>13</v>
      </c>
      <c r="AA691">
        <f t="shared" si="58"/>
        <v>1.6230393276548176</v>
      </c>
      <c r="AB691">
        <f t="shared" si="59"/>
        <v>0.9159585801938982</v>
      </c>
    </row>
    <row r="692" spans="23:28" x14ac:dyDescent="0.3">
      <c r="W692">
        <f t="shared" si="57"/>
        <v>1.1430111673040606</v>
      </c>
      <c r="Z692">
        <f t="shared" si="56"/>
        <v>13</v>
      </c>
      <c r="AA692">
        <f t="shared" si="58"/>
        <v>1.6230376852752493</v>
      </c>
      <c r="AB692">
        <f t="shared" si="59"/>
        <v>0.91479625559011313</v>
      </c>
    </row>
    <row r="693" spans="23:28" x14ac:dyDescent="0.3">
      <c r="W693">
        <f t="shared" si="57"/>
        <v>1.1430131370239121</v>
      </c>
      <c r="Z693">
        <f t="shared" si="56"/>
        <v>13</v>
      </c>
      <c r="AA693">
        <f t="shared" si="58"/>
        <v>1.6230357155553978</v>
      </c>
      <c r="AB693">
        <f t="shared" si="59"/>
        <v>0.91353048339815646</v>
      </c>
    </row>
    <row r="694" spans="23:28" x14ac:dyDescent="0.3">
      <c r="W694">
        <f t="shared" si="57"/>
        <v>1.1430155077632504</v>
      </c>
      <c r="Z694">
        <f t="shared" si="56"/>
        <v>13</v>
      </c>
      <c r="AA694">
        <f t="shared" si="58"/>
        <v>1.6230333448160594</v>
      </c>
      <c r="AB694">
        <f t="shared" si="59"/>
        <v>0.91215088532597044</v>
      </c>
    </row>
    <row r="695" spans="23:28" x14ac:dyDescent="0.3">
      <c r="W695">
        <f t="shared" si="57"/>
        <v>1.1430183719688318</v>
      </c>
      <c r="Z695">
        <f t="shared" si="56"/>
        <v>13</v>
      </c>
      <c r="AA695">
        <f t="shared" si="58"/>
        <v>1.6230304806104781</v>
      </c>
      <c r="AB695">
        <f t="shared" si="59"/>
        <v>0.91064585001688003</v>
      </c>
    </row>
    <row r="696" spans="23:28" x14ac:dyDescent="0.3">
      <c r="W696">
        <f t="shared" si="57"/>
        <v>1.1430218460191757</v>
      </c>
      <c r="Z696">
        <f t="shared" si="56"/>
        <v>13</v>
      </c>
      <c r="AA696">
        <f t="shared" si="58"/>
        <v>1.6230270065601342</v>
      </c>
      <c r="AB696">
        <f t="shared" si="59"/>
        <v>0.90900246739993606</v>
      </c>
    </row>
    <row r="697" spans="23:28" x14ac:dyDescent="0.3">
      <c r="W697">
        <f t="shared" si="57"/>
        <v>1.1430260771680438</v>
      </c>
      <c r="Z697">
        <f t="shared" si="56"/>
        <v>13</v>
      </c>
      <c r="AA697">
        <f t="shared" si="58"/>
        <v>1.623022775411266</v>
      </c>
      <c r="AB697">
        <f t="shared" si="59"/>
        <v>0.90720635607175415</v>
      </c>
    </row>
    <row r="698" spans="23:28" x14ac:dyDescent="0.3">
      <c r="W698">
        <f t="shared" si="57"/>
        <v>1.1430312526971509</v>
      </c>
      <c r="Z698">
        <f t="shared" si="56"/>
        <v>13</v>
      </c>
      <c r="AA698">
        <f t="shared" si="58"/>
        <v>1.623017599882159</v>
      </c>
      <c r="AB698">
        <f t="shared" si="59"/>
        <v>0.90524147856173309</v>
      </c>
    </row>
    <row r="699" spans="23:28" x14ac:dyDescent="0.3">
      <c r="W699">
        <f t="shared" si="57"/>
        <v>1.1430376120900665</v>
      </c>
      <c r="Z699">
        <f t="shared" si="56"/>
        <v>13</v>
      </c>
      <c r="AA699">
        <f t="shared" si="58"/>
        <v>1.6230112404892434</v>
      </c>
      <c r="AB699">
        <f t="shared" si="59"/>
        <v>0.90308992791247966</v>
      </c>
    </row>
    <row r="700" spans="23:28" x14ac:dyDescent="0.3">
      <c r="W700">
        <f t="shared" si="57"/>
        <v>1.1430454633263125</v>
      </c>
      <c r="Z700">
        <f t="shared" si="56"/>
        <v>13</v>
      </c>
      <c r="AA700">
        <f t="shared" si="58"/>
        <v>1.6230033892529974</v>
      </c>
      <c r="AB700">
        <f t="shared" si="59"/>
        <v>0.90073168239924084</v>
      </c>
    </row>
    <row r="701" spans="23:28" x14ac:dyDescent="0.3">
      <c r="W701">
        <f t="shared" si="57"/>
        <v>1.1430552048418579</v>
      </c>
      <c r="Z701">
        <f t="shared" si="56"/>
        <v>13</v>
      </c>
      <c r="AA701">
        <f t="shared" si="58"/>
        <v>1.622993647737452</v>
      </c>
      <c r="AB701">
        <f t="shared" si="59"/>
        <v>0.89814432232808461</v>
      </c>
    </row>
    <row r="702" spans="23:28" x14ac:dyDescent="0.3">
      <c r="W702">
        <f t="shared" si="57"/>
        <v>1.1430673553416779</v>
      </c>
      <c r="Z702">
        <f t="shared" si="56"/>
        <v>13</v>
      </c>
      <c r="AA702">
        <f t="shared" si="58"/>
        <v>1.622981497237632</v>
      </c>
      <c r="AB702">
        <f t="shared" si="59"/>
        <v>0.89530270197348261</v>
      </c>
    </row>
    <row r="703" spans="23:28" x14ac:dyDescent="0.3">
      <c r="W703">
        <f t="shared" si="57"/>
        <v>1.1430825945820569</v>
      </c>
      <c r="Z703">
        <f t="shared" si="56"/>
        <v>13</v>
      </c>
      <c r="AA703">
        <f t="shared" si="58"/>
        <v>1.622966257997253</v>
      </c>
      <c r="AB703">
        <f t="shared" si="59"/>
        <v>0.89217856822269714</v>
      </c>
    </row>
    <row r="704" spans="23:28" x14ac:dyDescent="0.3">
      <c r="W704">
        <f t="shared" si="57"/>
        <v>1.1431018196091138</v>
      </c>
      <c r="Z704">
        <f t="shared" si="56"/>
        <v>13</v>
      </c>
      <c r="AA704">
        <f t="shared" si="58"/>
        <v>1.622947032970196</v>
      </c>
      <c r="AB704">
        <f t="shared" si="59"/>
        <v>0.88874011591112845</v>
      </c>
    </row>
    <row r="705" spans="23:28" x14ac:dyDescent="0.3">
      <c r="W705">
        <f t="shared" si="57"/>
        <v>1.1431262229715509</v>
      </c>
      <c r="Z705">
        <f t="shared" si="56"/>
        <v>13</v>
      </c>
      <c r="AA705">
        <f t="shared" si="58"/>
        <v>1.622922629607759</v>
      </c>
      <c r="AB705">
        <f t="shared" si="59"/>
        <v>0.88495146788830703</v>
      </c>
    </row>
    <row r="706" spans="23:28" x14ac:dyDescent="0.3">
      <c r="W706">
        <f t="shared" si="57"/>
        <v>1.1431574024708098</v>
      </c>
      <c r="Z706">
        <f t="shared" si="56"/>
        <v>13</v>
      </c>
      <c r="AA706">
        <f t="shared" si="58"/>
        <v>1.6228914501085001</v>
      </c>
      <c r="AB706">
        <f t="shared" si="59"/>
        <v>0.88077206574924116</v>
      </c>
    </row>
    <row r="707" spans="23:28" x14ac:dyDescent="0.3">
      <c r="W707">
        <f t="shared" si="57"/>
        <v>1.1431975166274602</v>
      </c>
      <c r="Z707">
        <f t="shared" si="56"/>
        <v>13</v>
      </c>
      <c r="AA707">
        <f t="shared" si="58"/>
        <v>1.6228513359518497</v>
      </c>
      <c r="AB707">
        <f t="shared" si="59"/>
        <v>0.87615595477184927</v>
      </c>
    </row>
    <row r="708" spans="23:28" x14ac:dyDescent="0.3">
      <c r="W708">
        <f t="shared" si="57"/>
        <v>1.1432495071180451</v>
      </c>
      <c r="Z708">
        <f t="shared" si="56"/>
        <v>13</v>
      </c>
      <c r="AA708">
        <f t="shared" si="58"/>
        <v>1.6227993454612648</v>
      </c>
      <c r="AB708">
        <f t="shared" si="59"/>
        <v>0.87105094411999118</v>
      </c>
    </row>
    <row r="709" spans="23:28" x14ac:dyDescent="0.3">
      <c r="W709">
        <f t="shared" si="57"/>
        <v>1.1433174204155976</v>
      </c>
      <c r="Z709">
        <f t="shared" si="56"/>
        <v>13</v>
      </c>
      <c r="AA709">
        <f t="shared" si="58"/>
        <v>1.6227314321637123</v>
      </c>
      <c r="AB709">
        <f t="shared" si="59"/>
        <v>0.86539762083250626</v>
      </c>
    </row>
    <row r="710" spans="23:28" x14ac:dyDescent="0.3">
      <c r="W710">
        <f t="shared" si="57"/>
        <v>1.1434068781193563</v>
      </c>
      <c r="Z710">
        <f t="shared" si="56"/>
        <v>13</v>
      </c>
      <c r="AA710">
        <f t="shared" si="58"/>
        <v>1.6226419744599536</v>
      </c>
      <c r="AB710">
        <f t="shared" si="59"/>
        <v>0.8591281939956712</v>
      </c>
    </row>
    <row r="711" spans="23:28" x14ac:dyDescent="0.3">
      <c r="W711">
        <f t="shared" si="57"/>
        <v>1.1435257729394583</v>
      </c>
      <c r="Z711">
        <f t="shared" si="56"/>
        <v>13</v>
      </c>
      <c r="AA711">
        <f t="shared" si="58"/>
        <v>1.6225230796398515</v>
      </c>
      <c r="AB711">
        <f t="shared" si="59"/>
        <v>0.85216514411116695</v>
      </c>
    </row>
    <row r="712" spans="23:28" x14ac:dyDescent="0.3">
      <c r="W712">
        <f t="shared" si="57"/>
        <v>1.1436853116960297</v>
      </c>
      <c r="Z712">
        <f t="shared" si="56"/>
        <v>13</v>
      </c>
      <c r="AA712">
        <f t="shared" si="58"/>
        <v>1.6223635408832802</v>
      </c>
      <c r="AB712">
        <f t="shared" si="59"/>
        <v>0.84441965326912749</v>
      </c>
    </row>
    <row r="713" spans="23:28" x14ac:dyDescent="0.3">
      <c r="W713">
        <f t="shared" si="57"/>
        <v>1.143901599497658</v>
      </c>
      <c r="Z713">
        <f t="shared" si="56"/>
        <v>13</v>
      </c>
      <c r="AA713">
        <f t="shared" si="58"/>
        <v>1.6221472530816519</v>
      </c>
      <c r="AB713">
        <f t="shared" si="59"/>
        <v>0.8357897958054098</v>
      </c>
    </row>
    <row r="714" spans="23:28" x14ac:dyDescent="0.3">
      <c r="W714">
        <f t="shared" si="57"/>
        <v>1.1441980805681298</v>
      </c>
      <c r="Z714">
        <f t="shared" si="56"/>
        <v>13</v>
      </c>
      <c r="AA714">
        <f t="shared" si="58"/>
        <v>1.6218507720111801</v>
      </c>
      <c r="AB714">
        <f t="shared" si="59"/>
        <v>0.82615847988380908</v>
      </c>
    </row>
    <row r="715" spans="23:28" x14ac:dyDescent="0.3">
      <c r="W715">
        <f t="shared" si="57"/>
        <v>1.1446093567063613</v>
      </c>
      <c r="Z715">
        <f t="shared" si="56"/>
        <v>13</v>
      </c>
      <c r="AA715">
        <f t="shared" si="58"/>
        <v>1.6214394958729486</v>
      </c>
      <c r="AB715">
        <f t="shared" si="59"/>
        <v>0.8153911530387663</v>
      </c>
    </row>
    <row r="716" spans="23:28" x14ac:dyDescent="0.3">
      <c r="W716">
        <f t="shared" si="57"/>
        <v>1.1451872587163414</v>
      </c>
      <c r="Z716">
        <f t="shared" si="56"/>
        <v>13</v>
      </c>
      <c r="AA716">
        <f t="shared" si="58"/>
        <v>1.6208615938629685</v>
      </c>
      <c r="AB716">
        <f t="shared" si="59"/>
        <v>0.80333332837909754</v>
      </c>
    </row>
    <row r="717" spans="23:28" x14ac:dyDescent="0.3">
      <c r="W717">
        <f t="shared" si="57"/>
        <v>1.1460106684293483</v>
      </c>
      <c r="Z717">
        <f t="shared" si="56"/>
        <v>13</v>
      </c>
      <c r="AA717">
        <f t="shared" si="58"/>
        <v>1.6200381841499616</v>
      </c>
      <c r="AB717">
        <f t="shared" si="59"/>
        <v>0.78980806865897468</v>
      </c>
    </row>
    <row r="718" spans="23:28" x14ac:dyDescent="0.3">
      <c r="W718">
        <f t="shared" si="57"/>
        <v>1.1472017026793939</v>
      </c>
      <c r="Z718">
        <f t="shared" si="56"/>
        <v>13</v>
      </c>
      <c r="AA718">
        <f t="shared" si="58"/>
        <v>1.618847149899916</v>
      </c>
      <c r="AB718">
        <f t="shared" si="59"/>
        <v>0.77461508690290759</v>
      </c>
    </row>
    <row r="719" spans="23:28" x14ac:dyDescent="0.3">
      <c r="W719">
        <f t="shared" si="57"/>
        <v>1.14862563631224</v>
      </c>
      <c r="Z719">
        <f t="shared" si="56"/>
        <v>13</v>
      </c>
      <c r="AA719">
        <f t="shared" si="58"/>
        <v>1.6174232162670699</v>
      </c>
      <c r="AB719">
        <f t="shared" si="59"/>
        <v>0.76038690457725777</v>
      </c>
    </row>
    <row r="720" spans="23:28" x14ac:dyDescent="0.3">
      <c r="W720">
        <f t="shared" si="57"/>
        <v>1.151267421042153</v>
      </c>
      <c r="Z720">
        <f t="shared" si="56"/>
        <v>13</v>
      </c>
      <c r="AA720">
        <f t="shared" si="58"/>
        <v>1.6147814315371569</v>
      </c>
      <c r="AB720">
        <f t="shared" si="59"/>
        <v>0.74027333028292353</v>
      </c>
    </row>
    <row r="721" spans="23:28" x14ac:dyDescent="0.3">
      <c r="W721">
        <f t="shared" si="57"/>
        <v>1.1549787815758645</v>
      </c>
      <c r="Z721">
        <f t="shared" si="56"/>
        <v>13</v>
      </c>
      <c r="AA721">
        <f t="shared" si="58"/>
        <v>1.6110700710034453</v>
      </c>
      <c r="AB721">
        <f t="shared" si="59"/>
        <v>0.71945185286861368</v>
      </c>
    </row>
    <row r="722" spans="23:28" x14ac:dyDescent="0.3">
      <c r="W722">
        <f t="shared" si="57"/>
        <v>1.1609627321979774</v>
      </c>
      <c r="Z722">
        <f t="shared" si="56"/>
        <v>13</v>
      </c>
      <c r="AA722">
        <f t="shared" si="58"/>
        <v>1.6050861203813325</v>
      </c>
      <c r="AB722">
        <f t="shared" si="59"/>
        <v>0.69510299977692602</v>
      </c>
    </row>
    <row r="723" spans="23:28" x14ac:dyDescent="0.3">
      <c r="W723">
        <f t="shared" si="57"/>
        <v>1.1702952871421346</v>
      </c>
      <c r="Z723">
        <f t="shared" si="56"/>
        <v>13</v>
      </c>
      <c r="AA723">
        <f t="shared" si="58"/>
        <v>1.5957535654371753</v>
      </c>
      <c r="AB723">
        <f t="shared" si="59"/>
        <v>0.66827742889075359</v>
      </c>
    </row>
    <row r="724" spans="23:28" x14ac:dyDescent="0.3">
      <c r="W724">
        <f t="shared" si="57"/>
        <v>1.1856465819804098</v>
      </c>
      <c r="Z724">
        <f t="shared" si="56"/>
        <v>13</v>
      </c>
      <c r="AA724">
        <f t="shared" si="58"/>
        <v>1.5804022705989</v>
      </c>
      <c r="AB724">
        <f t="shared" si="59"/>
        <v>0.63793671515432082</v>
      </c>
    </row>
    <row r="725" spans="23:28" x14ac:dyDescent="0.3">
      <c r="W725">
        <f t="shared" si="57"/>
        <v>1.211044209731627</v>
      </c>
      <c r="Z725">
        <f t="shared" si="56"/>
        <v>13</v>
      </c>
      <c r="AA725">
        <f t="shared" si="58"/>
        <v>1.5550046428476829</v>
      </c>
      <c r="AB725">
        <f t="shared" si="59"/>
        <v>0.60451895949480172</v>
      </c>
    </row>
    <row r="726" spans="23:28" x14ac:dyDescent="0.3">
      <c r="W726">
        <f t="shared" si="57"/>
        <v>1.2547271862495781</v>
      </c>
      <c r="Z726">
        <f t="shared" si="56"/>
        <v>13</v>
      </c>
      <c r="AA726">
        <f t="shared" si="58"/>
        <v>1.5113216663297317</v>
      </c>
      <c r="AB726">
        <f t="shared" si="59"/>
        <v>0.56764407327826527</v>
      </c>
    </row>
    <row r="727" spans="23:28" x14ac:dyDescent="0.3">
      <c r="W727">
        <f t="shared" si="57"/>
        <v>1.3307024787234873</v>
      </c>
      <c r="Z727">
        <f t="shared" si="56"/>
        <v>13</v>
      </c>
      <c r="AA727">
        <f t="shared" si="58"/>
        <v>1.4353463738558225</v>
      </c>
      <c r="AB727">
        <f t="shared" si="59"/>
        <v>0.52819919103708846</v>
      </c>
    </row>
    <row r="728" spans="23:28" x14ac:dyDescent="0.3">
      <c r="W728">
        <f t="shared" si="57"/>
        <v>1.4677546166840529</v>
      </c>
      <c r="Z728">
        <f t="shared" si="56"/>
        <v>13</v>
      </c>
      <c r="AA728">
        <f t="shared" si="58"/>
        <v>1.2982942358952569</v>
      </c>
      <c r="AB728">
        <f t="shared" si="59"/>
        <v>0.48656332837244431</v>
      </c>
    </row>
    <row r="729" spans="23:28" x14ac:dyDescent="0.3">
      <c r="W729">
        <f t="shared" si="57"/>
        <v>1.7155867526768451</v>
      </c>
      <c r="Z729">
        <f t="shared" si="56"/>
        <v>13</v>
      </c>
      <c r="AA729">
        <f t="shared" si="58"/>
        <v>1.0504620999024648</v>
      </c>
      <c r="AB729">
        <f t="shared" si="59"/>
        <v>0.44490630075061705</v>
      </c>
    </row>
    <row r="730" spans="23:28" x14ac:dyDescent="0.3">
      <c r="W730">
        <f t="shared" si="57"/>
        <v>2.1861296462312865</v>
      </c>
      <c r="Z730">
        <f t="shared" si="56"/>
        <v>13</v>
      </c>
      <c r="AA730">
        <f t="shared" si="58"/>
        <v>0.57991920634802341</v>
      </c>
      <c r="AB730">
        <f t="shared" si="59"/>
        <v>0.40422770455153728</v>
      </c>
    </row>
    <row r="731" spans="23:28" x14ac:dyDescent="0.3">
      <c r="W731">
        <f t="shared" si="57"/>
        <v>2.2783011649994576</v>
      </c>
      <c r="Z731">
        <f t="shared" si="56"/>
        <v>13</v>
      </c>
      <c r="AA731">
        <f t="shared" si="58"/>
        <v>0.48774768757985232</v>
      </c>
      <c r="AB731">
        <f t="shared" si="59"/>
        <v>0.3988654244970895</v>
      </c>
    </row>
  </sheetData>
  <hyperlinks>
    <hyperlink ref="F54" r:id="rId1"/>
    <hyperlink ref="F55" r:id="rId2"/>
    <hyperlink ref="F56" r:id="rId3"/>
    <hyperlink ref="F58" r:id="rId4"/>
  </hyperlinks>
  <pageMargins left="0.7" right="0.7" top="0.75" bottom="0.75" header="0.3" footer="0.3"/>
  <pageSetup orientation="portrait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</sheetPr>
  <dimension ref="A1:AX731"/>
  <sheetViews>
    <sheetView topLeftCell="A19" zoomScale="60" zoomScaleNormal="60" workbookViewId="0">
      <selection activeCell="L32" sqref="L32"/>
    </sheetView>
  </sheetViews>
  <sheetFormatPr defaultRowHeight="14.4" x14ac:dyDescent="0.3"/>
  <cols>
    <col min="5" max="5" width="20.33203125" customWidth="1"/>
    <col min="6" max="6" width="15.88671875" customWidth="1"/>
    <col min="7" max="7" width="13.33203125" customWidth="1"/>
    <col min="12" max="12" width="12.6640625" bestFit="1" customWidth="1"/>
    <col min="13" max="13" width="12" bestFit="1" customWidth="1"/>
    <col min="15" max="15" width="12" bestFit="1" customWidth="1"/>
    <col min="16" max="16" width="12.6640625" bestFit="1" customWidth="1"/>
    <col min="28" max="28" width="13" bestFit="1" customWidth="1"/>
    <col min="30" max="30" width="11.109375" bestFit="1" customWidth="1"/>
  </cols>
  <sheetData>
    <row r="1" spans="3:26" ht="317.25" customHeight="1" x14ac:dyDescent="0.3">
      <c r="G1">
        <f>COLUMN()</f>
        <v>7</v>
      </c>
    </row>
    <row r="4" spans="3:26" x14ac:dyDescent="0.3">
      <c r="Z4">
        <f>cal_hE(Y7, $G$36, $G$14,$G$15, $G$6,$G$10, $G$9, $G$7,$G$35,$G$29, $G$31 )</f>
        <v>0.27309837353284722</v>
      </c>
    </row>
    <row r="5" spans="3:26" x14ac:dyDescent="0.3">
      <c r="C5">
        <v>1</v>
      </c>
      <c r="D5">
        <v>1</v>
      </c>
      <c r="F5" t="s">
        <v>63</v>
      </c>
      <c r="G5">
        <v>3.6499999999999998E-2</v>
      </c>
      <c r="H5" t="s">
        <v>64</v>
      </c>
    </row>
    <row r="6" spans="3:26" x14ac:dyDescent="0.3">
      <c r="F6" t="s">
        <v>40</v>
      </c>
      <c r="G6">
        <v>9.8000000000000007</v>
      </c>
      <c r="H6" t="s">
        <v>41</v>
      </c>
      <c r="N6" t="s">
        <v>48</v>
      </c>
      <c r="O6" t="s">
        <v>49</v>
      </c>
      <c r="Q6" t="s">
        <v>48</v>
      </c>
      <c r="R6" t="s">
        <v>49</v>
      </c>
    </row>
    <row r="7" spans="3:26" x14ac:dyDescent="0.3">
      <c r="F7" t="s">
        <v>32</v>
      </c>
      <c r="G7">
        <f>G8/180*PI()</f>
        <v>0</v>
      </c>
      <c r="H7" t="s">
        <v>39</v>
      </c>
      <c r="N7">
        <v>1E-4</v>
      </c>
      <c r="O7">
        <f>f_h_c(N7,$G$36,$G$14,$G$6,$G$10,$G$9,$G$7)</f>
        <v>96543821404.752258</v>
      </c>
      <c r="P7" s="2" t="e">
        <f>Cal_hC_TTBN(N7*$G$9)</f>
        <v>#VALUE!</v>
      </c>
      <c r="Q7">
        <v>1</v>
      </c>
      <c r="R7">
        <f>f_h_c(Q7,$G$36,$G$14,$G$6,$G$10,$G$9,$G$7)</f>
        <v>-11.172899914099824</v>
      </c>
      <c r="V7">
        <v>0.8</v>
      </c>
      <c r="W7" s="2">
        <f>f_h_e(V7, $G$36, $G$14,$G$15, $G$6,$G$10, $G$9, $G$7,$G$35,$G$29, $G$31 )</f>
        <v>-0.80606953966794859</v>
      </c>
      <c r="Y7">
        <v>0.17</v>
      </c>
      <c r="Z7" s="2">
        <f>f_h_e(Y7, $G$36, $G$14,$G$15, $G$6,$G$10, $G$9, $G$7,$G$35,$G$29, $G$31 )</f>
        <v>0.61375326617430559</v>
      </c>
    </row>
    <row r="8" spans="3:26" x14ac:dyDescent="0.3">
      <c r="F8" t="s">
        <v>32</v>
      </c>
      <c r="G8">
        <v>0</v>
      </c>
      <c r="H8" t="s">
        <v>31</v>
      </c>
      <c r="N8">
        <f>0.05+N7</f>
        <v>5.0100000000000006E-2</v>
      </c>
      <c r="O8">
        <f>f_h_c(N8,$G$36,$G$14,$G$6,$G$10,$G$9,$G$7)</f>
        <v>17267.698334916415</v>
      </c>
      <c r="P8" s="2"/>
      <c r="Q8">
        <f>Q7-0.0005</f>
        <v>0.99950000000000006</v>
      </c>
      <c r="R8">
        <f t="shared" ref="R8:R33" si="0">f_h_c(Q8,$G$36,$G$14,$G$6,$G$10,$G$9,$G$7)</f>
        <v>-10.550658730488818</v>
      </c>
      <c r="V8">
        <f>V7-0.05</f>
        <v>0.75</v>
      </c>
      <c r="W8" s="2">
        <f t="shared" ref="W8:W22" si="1">f_h_e(V8, $G$36, $G$14,$G$15, $G$6,$G$10, $G$9, $G$7,$G$35,$G$29, $G$31 )</f>
        <v>-0.73239773143037479</v>
      </c>
      <c r="Y8">
        <f>Y7-0.001</f>
        <v>0.16900000000000001</v>
      </c>
      <c r="Z8" s="2">
        <f t="shared" ref="Z8:Z47" si="2">f_h_e(Y8, $G$36, $G$14,$G$15, $G$6,$G$10, $G$9, $G$7,$G$35,$G$29, $G$31 )</f>
        <v>0.63182409492429736</v>
      </c>
    </row>
    <row r="9" spans="3:26" x14ac:dyDescent="0.3">
      <c r="F9" t="s">
        <v>0</v>
      </c>
      <c r="G9">
        <f>1.5*0.0254</f>
        <v>3.8099999999999995E-2</v>
      </c>
      <c r="H9" t="s">
        <v>1</v>
      </c>
      <c r="N9">
        <f t="shared" ref="N9:N25" si="3">0.05+N8</f>
        <v>0.10010000000000001</v>
      </c>
      <c r="O9">
        <f t="shared" ref="O9:O27" si="4">f_h_c(N9,$G$36,$G$14,$G$6,$G$10,$G$9,$G$7)</f>
        <v>3073.5037520044425</v>
      </c>
      <c r="P9" s="2"/>
      <c r="Q9">
        <f t="shared" ref="Q9:Q33" si="5">Q8-0.0005</f>
        <v>0.99900000000000011</v>
      </c>
      <c r="R9">
        <f t="shared" si="0"/>
        <v>-10.292777257491608</v>
      </c>
      <c r="V9">
        <f t="shared" ref="V9:V22" si="6">V8-0.05</f>
        <v>0.7</v>
      </c>
      <c r="W9" s="2">
        <f t="shared" si="1"/>
        <v>-0.66003370013926843</v>
      </c>
      <c r="Y9">
        <f t="shared" ref="Y9:Y47" si="7">Y8-0.001</f>
        <v>0.16800000000000001</v>
      </c>
      <c r="Z9" s="2">
        <f t="shared" si="2"/>
        <v>0.65036926907051795</v>
      </c>
    </row>
    <row r="10" spans="3:26" x14ac:dyDescent="0.3">
      <c r="F10" t="s">
        <v>2</v>
      </c>
      <c r="G10">
        <f>PI()*G9^2/4</f>
        <v>1.1400918279693697E-3</v>
      </c>
      <c r="H10" t="s">
        <v>3</v>
      </c>
      <c r="I10">
        <f>G10*100*100</f>
        <v>11.400918279693698</v>
      </c>
      <c r="N10">
        <f t="shared" si="3"/>
        <v>0.15010000000000001</v>
      </c>
      <c r="O10">
        <f t="shared" si="4"/>
        <v>1120.0392166385352</v>
      </c>
      <c r="P10" s="2"/>
      <c r="Q10">
        <f t="shared" si="5"/>
        <v>0.99850000000000017</v>
      </c>
      <c r="R10">
        <f t="shared" si="0"/>
        <v>-10.094780027941422</v>
      </c>
      <c r="V10">
        <f t="shared" si="6"/>
        <v>0.64999999999999991</v>
      </c>
      <c r="W10" s="2">
        <f t="shared" si="1"/>
        <v>-0.58735919070856224</v>
      </c>
      <c r="Y10">
        <f t="shared" si="7"/>
        <v>0.16700000000000001</v>
      </c>
      <c r="Z10" s="2">
        <f t="shared" si="2"/>
        <v>0.66940211740355671</v>
      </c>
    </row>
    <row r="11" spans="3:26" x14ac:dyDescent="0.3">
      <c r="F11" t="s">
        <v>4</v>
      </c>
      <c r="G11">
        <v>1</v>
      </c>
      <c r="H11" t="s">
        <v>5</v>
      </c>
      <c r="N11">
        <f t="shared" si="3"/>
        <v>0.2001</v>
      </c>
      <c r="O11">
        <f t="shared" si="4"/>
        <v>546.74722008599247</v>
      </c>
      <c r="P11" s="2"/>
      <c r="Q11">
        <f t="shared" si="5"/>
        <v>0.99800000000000022</v>
      </c>
      <c r="R11">
        <f t="shared" si="0"/>
        <v>-9.9277497888913047</v>
      </c>
      <c r="V11">
        <f t="shared" si="6"/>
        <v>0.59999999999999987</v>
      </c>
      <c r="W11" s="2">
        <f t="shared" si="1"/>
        <v>-0.51307164638191127</v>
      </c>
      <c r="Y11">
        <f t="shared" si="7"/>
        <v>0.16600000000000001</v>
      </c>
      <c r="Z11" s="2">
        <f t="shared" si="2"/>
        <v>0.68893641936303918</v>
      </c>
    </row>
    <row r="12" spans="3:26" x14ac:dyDescent="0.3">
      <c r="F12" t="s">
        <v>6</v>
      </c>
      <c r="G12">
        <f>G11*G10</f>
        <v>1.1400918279693697E-3</v>
      </c>
      <c r="H12" t="s">
        <v>7</v>
      </c>
      <c r="N12">
        <f t="shared" si="3"/>
        <v>0.25009999999999999</v>
      </c>
      <c r="O12">
        <f t="shared" si="4"/>
        <v>312.72566997917306</v>
      </c>
      <c r="P12" s="2"/>
      <c r="Q12">
        <f t="shared" si="5"/>
        <v>0.99750000000000028</v>
      </c>
      <c r="R12">
        <f t="shared" si="0"/>
        <v>-9.7804868491585815</v>
      </c>
      <c r="V12">
        <f t="shared" si="6"/>
        <v>0.54999999999999982</v>
      </c>
      <c r="W12" s="2">
        <f t="shared" si="1"/>
        <v>-0.43604457134643948</v>
      </c>
      <c r="Y12">
        <f t="shared" si="7"/>
        <v>0.16500000000000001</v>
      </c>
      <c r="Z12" s="2">
        <f t="shared" si="2"/>
        <v>0.70898642289007208</v>
      </c>
    </row>
    <row r="13" spans="3:26" x14ac:dyDescent="0.3">
      <c r="F13" t="s">
        <v>6</v>
      </c>
      <c r="G13">
        <f>G12*1000*60/3.78541</f>
        <v>18.070832400760334</v>
      </c>
      <c r="H13" t="s">
        <v>8</v>
      </c>
      <c r="N13">
        <f t="shared" si="3"/>
        <v>0.30009999999999998</v>
      </c>
      <c r="O13">
        <f t="shared" si="4"/>
        <v>197.29400233530325</v>
      </c>
      <c r="P13" s="2"/>
      <c r="Q13">
        <f t="shared" si="5"/>
        <v>0.99700000000000033</v>
      </c>
      <c r="R13">
        <f t="shared" si="0"/>
        <v>-9.6472479073553767</v>
      </c>
      <c r="V13">
        <f t="shared" si="6"/>
        <v>0.49999999999999983</v>
      </c>
      <c r="W13" s="2">
        <f t="shared" si="1"/>
        <v>-0.35533554158540953</v>
      </c>
      <c r="Y13">
        <f t="shared" si="7"/>
        <v>0.16400000000000001</v>
      </c>
      <c r="Z13" s="2">
        <f t="shared" si="2"/>
        <v>0.72956686309859675</v>
      </c>
    </row>
    <row r="14" spans="3:26" x14ac:dyDescent="0.3">
      <c r="F14" t="s">
        <v>22</v>
      </c>
      <c r="G14">
        <v>1000</v>
      </c>
      <c r="H14" t="s">
        <v>24</v>
      </c>
      <c r="N14">
        <f t="shared" si="3"/>
        <v>0.35009999999999997</v>
      </c>
      <c r="O14">
        <f t="shared" si="4"/>
        <v>132.81986903679754</v>
      </c>
      <c r="P14" s="2"/>
      <c r="Q14">
        <f t="shared" si="5"/>
        <v>0.99650000000000039</v>
      </c>
      <c r="R14">
        <f t="shared" si="0"/>
        <v>-9.5246215253013613</v>
      </c>
      <c r="V14">
        <f t="shared" si="6"/>
        <v>0.44999999999999984</v>
      </c>
      <c r="W14" s="2">
        <f t="shared" si="1"/>
        <v>-0.27040133990611098</v>
      </c>
      <c r="Y14">
        <f t="shared" si="7"/>
        <v>0.16300000000000001</v>
      </c>
      <c r="Z14" s="2">
        <f t="shared" si="2"/>
        <v>0.7506929818083109</v>
      </c>
    </row>
    <row r="15" spans="3:26" x14ac:dyDescent="0.3">
      <c r="F15" t="s">
        <v>23</v>
      </c>
      <c r="G15">
        <v>1E-3</v>
      </c>
      <c r="H15" t="s">
        <v>16</v>
      </c>
      <c r="N15">
        <f t="shared" si="3"/>
        <v>0.40009999999999996</v>
      </c>
      <c r="O15">
        <f t="shared" si="4"/>
        <v>93.45904878598185</v>
      </c>
      <c r="P15" s="2"/>
      <c r="Q15">
        <f t="shared" si="5"/>
        <v>0.99600000000000044</v>
      </c>
      <c r="R15">
        <f t="shared" si="0"/>
        <v>-9.4103851900165072</v>
      </c>
      <c r="V15">
        <f t="shared" si="6"/>
        <v>0.39999999999999986</v>
      </c>
      <c r="W15" s="2">
        <f t="shared" si="1"/>
        <v>-0.18179362163667118</v>
      </c>
      <c r="Y15">
        <f t="shared" si="7"/>
        <v>0.16200000000000001</v>
      </c>
      <c r="Z15" s="2">
        <f t="shared" si="2"/>
        <v>0.77238054798433431</v>
      </c>
    </row>
    <row r="16" spans="3:26" x14ac:dyDescent="0.3">
      <c r="F16" t="s">
        <v>17</v>
      </c>
      <c r="G16">
        <v>1</v>
      </c>
      <c r="H16" t="s">
        <v>5</v>
      </c>
      <c r="J16">
        <v>1</v>
      </c>
      <c r="N16">
        <f t="shared" si="3"/>
        <v>0.45009999999999994</v>
      </c>
      <c r="O16">
        <f t="shared" si="4"/>
        <v>67.750306564858349</v>
      </c>
      <c r="P16" s="2"/>
      <c r="Q16">
        <f t="shared" si="5"/>
        <v>0.9955000000000005</v>
      </c>
      <c r="R16">
        <f t="shared" si="0"/>
        <v>-9.3029952988201821</v>
      </c>
      <c r="V16">
        <f t="shared" si="6"/>
        <v>0.34999999999999987</v>
      </c>
      <c r="W16" s="2">
        <f t="shared" si="1"/>
        <v>-9.3236524277259314E-2</v>
      </c>
      <c r="Y16">
        <f t="shared" si="7"/>
        <v>0.161</v>
      </c>
      <c r="Z16" s="2">
        <f t="shared" si="2"/>
        <v>0.794645879131472</v>
      </c>
    </row>
    <row r="17" spans="5:26" x14ac:dyDescent="0.3">
      <c r="F17" t="s">
        <v>18</v>
      </c>
      <c r="G17">
        <f>G16*G10</f>
        <v>1.1400918279693697E-3</v>
      </c>
      <c r="H17" t="s">
        <v>7</v>
      </c>
      <c r="J17">
        <f>J16/0.3048^3</f>
        <v>35.314666721488585</v>
      </c>
      <c r="K17" t="s">
        <v>19</v>
      </c>
      <c r="N17">
        <f t="shared" si="3"/>
        <v>0.50009999999999999</v>
      </c>
      <c r="O17">
        <f t="shared" si="4"/>
        <v>50.031576574943095</v>
      </c>
      <c r="P17" s="2"/>
      <c r="Q17">
        <f t="shared" si="5"/>
        <v>0.99500000000000055</v>
      </c>
      <c r="R17">
        <f t="shared" si="0"/>
        <v>-9.2013280821210692</v>
      </c>
      <c r="V17">
        <f t="shared" si="6"/>
        <v>0.29999999999999988</v>
      </c>
      <c r="W17" s="2">
        <f t="shared" si="1"/>
        <v>-1.857437897404841E-2</v>
      </c>
      <c r="Y17">
        <f t="shared" si="7"/>
        <v>0.16</v>
      </c>
      <c r="Z17" s="2">
        <f t="shared" si="2"/>
        <v>0.81750586369376832</v>
      </c>
    </row>
    <row r="18" spans="5:26" x14ac:dyDescent="0.3">
      <c r="F18" t="s">
        <v>18</v>
      </c>
      <c r="G18">
        <f>G17*60/0.3048^3</f>
        <v>2.4157177761978592</v>
      </c>
      <c r="H18" t="s">
        <v>20</v>
      </c>
      <c r="N18">
        <f t="shared" si="3"/>
        <v>0.55010000000000003</v>
      </c>
      <c r="O18">
        <f t="shared" si="4"/>
        <v>37.26603037803762</v>
      </c>
      <c r="P18" s="2"/>
      <c r="Q18">
        <f t="shared" si="5"/>
        <v>0.99450000000000061</v>
      </c>
      <c r="R18">
        <f t="shared" si="0"/>
        <v>-9.1045352750314361</v>
      </c>
      <c r="V18">
        <f t="shared" si="6"/>
        <v>0.24999999999999989</v>
      </c>
      <c r="W18" s="2">
        <f t="shared" si="1"/>
        <v>1.9777435222284822E-2</v>
      </c>
      <c r="Y18">
        <f t="shared" si="7"/>
        <v>0.159</v>
      </c>
      <c r="Z18" s="2">
        <f t="shared" si="2"/>
        <v>0.84097798451302264</v>
      </c>
    </row>
    <row r="19" spans="5:26" x14ac:dyDescent="0.3">
      <c r="F19" t="s">
        <v>14</v>
      </c>
      <c r="G19">
        <f>28.9645</f>
        <v>28.964500000000001</v>
      </c>
      <c r="N19">
        <f t="shared" si="3"/>
        <v>0.60010000000000008</v>
      </c>
      <c r="O19">
        <f t="shared" si="4"/>
        <v>27.715299089359895</v>
      </c>
      <c r="P19" s="2"/>
      <c r="Q19">
        <f t="shared" si="5"/>
        <v>0.99400000000000066</v>
      </c>
      <c r="R19">
        <f t="shared" si="0"/>
        <v>-9.0119579312636251</v>
      </c>
      <c r="V19">
        <f t="shared" si="6"/>
        <v>0.1999999999999999</v>
      </c>
      <c r="W19" s="2">
        <f t="shared" si="1"/>
        <v>0.2406099752362203</v>
      </c>
      <c r="Y19">
        <f t="shared" si="7"/>
        <v>0.158</v>
      </c>
      <c r="Z19" s="2">
        <f t="shared" si="2"/>
        <v>0.86508034340326168</v>
      </c>
    </row>
    <row r="20" spans="5:26" x14ac:dyDescent="0.3">
      <c r="F20" t="s">
        <v>10</v>
      </c>
      <c r="G20">
        <f>101325+6894.76*(1)</f>
        <v>108219.76</v>
      </c>
      <c r="N20">
        <f t="shared" si="3"/>
        <v>0.65010000000000012</v>
      </c>
      <c r="O20">
        <f t="shared" si="4"/>
        <v>20.329434413897523</v>
      </c>
      <c r="P20" s="2"/>
      <c r="Q20">
        <f t="shared" si="5"/>
        <v>0.99350000000000072</v>
      </c>
      <c r="R20">
        <f t="shared" si="0"/>
        <v>-8.9230720827348087</v>
      </c>
      <c r="V20">
        <f t="shared" si="6"/>
        <v>0.14999999999999991</v>
      </c>
      <c r="W20" s="2">
        <f t="shared" si="1"/>
        <v>1.0829858602606948</v>
      </c>
      <c r="Y20">
        <f t="shared" si="7"/>
        <v>0.157</v>
      </c>
      <c r="Z20" s="2">
        <f t="shared" si="2"/>
        <v>0.8898316869014754</v>
      </c>
    </row>
    <row r="21" spans="5:26" x14ac:dyDescent="0.3">
      <c r="F21" t="s">
        <v>11</v>
      </c>
      <c r="G21">
        <v>293.14999999999998</v>
      </c>
      <c r="N21">
        <f>0.05+N20</f>
        <v>0.70010000000000017</v>
      </c>
      <c r="O21">
        <f t="shared" si="4"/>
        <v>14.443809133538455</v>
      </c>
      <c r="P21" s="2"/>
      <c r="Q21">
        <f t="shared" si="5"/>
        <v>0.99300000000000077</v>
      </c>
      <c r="R21">
        <f t="shared" si="0"/>
        <v>-8.837452945169197</v>
      </c>
      <c r="V21">
        <f t="shared" si="6"/>
        <v>9.9999999999999908E-2</v>
      </c>
      <c r="W21" s="2">
        <f t="shared" si="1"/>
        <v>4.5839088708566438</v>
      </c>
      <c r="Y21">
        <f t="shared" si="7"/>
        <v>0.156</v>
      </c>
      <c r="Z21" s="2">
        <f t="shared" si="2"/>
        <v>0.9152514332587609</v>
      </c>
    </row>
    <row r="22" spans="5:26" x14ac:dyDescent="0.3">
      <c r="F22" t="s">
        <v>12</v>
      </c>
      <c r="G22">
        <v>8314.4621750000006</v>
      </c>
      <c r="H22" t="s">
        <v>13</v>
      </c>
      <c r="N22">
        <f t="shared" si="3"/>
        <v>0.75010000000000021</v>
      </c>
      <c r="O22">
        <f t="shared" si="4"/>
        <v>9.6177940103358388</v>
      </c>
      <c r="P22" s="2"/>
      <c r="Q22">
        <f t="shared" si="5"/>
        <v>0.99250000000000083</v>
      </c>
      <c r="R22">
        <f t="shared" si="0"/>
        <v>-8.7547504746228686</v>
      </c>
      <c r="V22">
        <f t="shared" si="6"/>
        <v>4.9999999999999906E-2</v>
      </c>
      <c r="W22" s="2">
        <f t="shared" si="1"/>
        <v>32.060055486052974</v>
      </c>
      <c r="Y22">
        <f t="shared" si="7"/>
        <v>0.155</v>
      </c>
      <c r="Z22" s="2">
        <f t="shared" si="2"/>
        <v>0.94135970073974351</v>
      </c>
    </row>
    <row r="23" spans="5:26" x14ac:dyDescent="0.3">
      <c r="F23" t="s">
        <v>9</v>
      </c>
      <c r="G23">
        <f>G20*G19/G22/G21</f>
        <v>1.2860224257390864</v>
      </c>
      <c r="H23" t="s">
        <v>24</v>
      </c>
      <c r="N23">
        <f t="shared" si="3"/>
        <v>0.80010000000000026</v>
      </c>
      <c r="O23">
        <f t="shared" si="4"/>
        <v>5.5419699974472127</v>
      </c>
      <c r="P23" s="2"/>
      <c r="Q23">
        <f t="shared" si="5"/>
        <v>0.99200000000000088</v>
      </c>
      <c r="R23">
        <f t="shared" si="0"/>
        <v>-8.6746721630145576</v>
      </c>
      <c r="W23" s="2"/>
      <c r="Y23">
        <f t="shared" si="7"/>
        <v>0.154</v>
      </c>
      <c r="Z23" s="2">
        <f t="shared" si="2"/>
        <v>0.96817733730254663</v>
      </c>
    </row>
    <row r="24" spans="5:26" x14ac:dyDescent="0.3">
      <c r="F24" t="s">
        <v>15</v>
      </c>
      <c r="G24">
        <f>18.27*0.000001</f>
        <v>1.827E-5</v>
      </c>
      <c r="H24" t="s">
        <v>16</v>
      </c>
      <c r="N24">
        <f t="shared" si="3"/>
        <v>0.8501000000000003</v>
      </c>
      <c r="O24">
        <f t="shared" si="4"/>
        <v>1.9765210440243386</v>
      </c>
      <c r="P24" s="2"/>
      <c r="Q24">
        <f t="shared" si="5"/>
        <v>0.99150000000000094</v>
      </c>
      <c r="R24">
        <f t="shared" si="0"/>
        <v>-8.5969706131060359</v>
      </c>
      <c r="W24" s="2"/>
      <c r="Y24">
        <f t="shared" si="7"/>
        <v>0.153</v>
      </c>
      <c r="Z24" s="2">
        <f t="shared" si="2"/>
        <v>0.99572595173586054</v>
      </c>
    </row>
    <row r="25" spans="5:26" x14ac:dyDescent="0.3">
      <c r="I25" t="s">
        <v>89</v>
      </c>
      <c r="J25">
        <f>(G26/G27)^(-0.2)*G14/G23*(G11/G16)^2</f>
        <v>457.35502702583506</v>
      </c>
      <c r="N25">
        <f t="shared" si="3"/>
        <v>0.90010000000000034</v>
      </c>
      <c r="O25">
        <f t="shared" si="4"/>
        <v>-1.3090290042533546</v>
      </c>
      <c r="P25" s="2"/>
      <c r="Q25">
        <f t="shared" si="5"/>
        <v>0.99100000000000099</v>
      </c>
      <c r="R25">
        <f t="shared" si="0"/>
        <v>-8.5214343638998908</v>
      </c>
      <c r="W25" s="2"/>
      <c r="Y25">
        <f t="shared" si="7"/>
        <v>0.152</v>
      </c>
      <c r="Z25" s="2">
        <f t="shared" si="2"/>
        <v>1.0240279463345863</v>
      </c>
    </row>
    <row r="26" spans="5:26" x14ac:dyDescent="0.3">
      <c r="F26" t="s">
        <v>21</v>
      </c>
      <c r="G26">
        <f>G14*G11*G9/G15</f>
        <v>38099.999999999993</v>
      </c>
      <c r="I26" t="s">
        <v>92</v>
      </c>
      <c r="J26">
        <f>J25^0.5</f>
        <v>21.385860446234915</v>
      </c>
      <c r="N26">
        <f>0.05+N25</f>
        <v>0.95010000000000039</v>
      </c>
      <c r="O26">
        <f t="shared" si="4"/>
        <v>-4.6740374428451528</v>
      </c>
      <c r="P26" s="2"/>
      <c r="Q26">
        <f t="shared" si="5"/>
        <v>0.99050000000000105</v>
      </c>
      <c r="R26">
        <f t="shared" si="0"/>
        <v>-8.4478809839435058</v>
      </c>
      <c r="W26" s="2"/>
      <c r="Y26">
        <f t="shared" si="7"/>
        <v>0.151</v>
      </c>
      <c r="Z26" s="2">
        <f t="shared" si="2"/>
        <v>1.0531065512006175</v>
      </c>
    </row>
    <row r="27" spans="5:26" x14ac:dyDescent="0.3">
      <c r="F27" t="s">
        <v>25</v>
      </c>
      <c r="G27">
        <f>G23*G16*G9/G24</f>
        <v>2681.8530060568792</v>
      </c>
      <c r="I27" s="2" t="s">
        <v>91</v>
      </c>
      <c r="J27">
        <f>2*0.046*(G27)^(-0.2)*G23*G16^2/G9</f>
        <v>0.64036030017997114</v>
      </c>
      <c r="N27">
        <v>0.97165508</v>
      </c>
      <c r="O27">
        <f t="shared" si="4"/>
        <v>-6.3905264439324059</v>
      </c>
      <c r="P27" s="2"/>
      <c r="Q27">
        <f t="shared" si="5"/>
        <v>0.9900000000000011</v>
      </c>
      <c r="R27">
        <f t="shared" si="0"/>
        <v>-8.3761517828323644</v>
      </c>
      <c r="W27" s="2"/>
      <c r="Y27">
        <f t="shared" si="7"/>
        <v>0.15</v>
      </c>
      <c r="Z27" s="2">
        <f t="shared" si="2"/>
        <v>1.0829858602606939</v>
      </c>
    </row>
    <row r="28" spans="5:26" x14ac:dyDescent="0.3">
      <c r="I28" t="s">
        <v>90</v>
      </c>
      <c r="J28">
        <f>(G14-G23)*G6*SIN(G7)/J27</f>
        <v>0</v>
      </c>
      <c r="L28">
        <f>cal_h(1,0,0.2,0.2)</f>
        <v>0.4208145216540462</v>
      </c>
      <c r="Q28">
        <f t="shared" si="5"/>
        <v>0.98950000000000116</v>
      </c>
      <c r="R28">
        <f t="shared" si="0"/>
        <v>-8.3061077003433521</v>
      </c>
      <c r="W28" s="2"/>
      <c r="Y28">
        <f t="shared" si="7"/>
        <v>0.14899999999999999</v>
      </c>
      <c r="Z28" s="2">
        <f t="shared" si="2"/>
        <v>1.1136908690993075</v>
      </c>
    </row>
    <row r="29" spans="5:26" x14ac:dyDescent="0.3">
      <c r="F29" t="s">
        <v>27</v>
      </c>
      <c r="G29">
        <f>G11+G16</f>
        <v>2</v>
      </c>
      <c r="H29" t="s">
        <v>5</v>
      </c>
      <c r="I29" t="s">
        <v>48</v>
      </c>
      <c r="J29">
        <f>cal_h(J26,J28,0.2,0.2)</f>
        <v>0.84268004694769494</v>
      </c>
      <c r="Q29">
        <f t="shared" si="5"/>
        <v>0.98900000000000121</v>
      </c>
      <c r="R29">
        <f t="shared" si="0"/>
        <v>-8.2376260677346309</v>
      </c>
      <c r="Y29">
        <f t="shared" si="7"/>
        <v>0.14799999999999999</v>
      </c>
      <c r="Z29" s="2">
        <f t="shared" si="2"/>
        <v>1.1452475147107435</v>
      </c>
    </row>
    <row r="30" spans="5:26" x14ac:dyDescent="0.3">
      <c r="F30" t="s">
        <v>26</v>
      </c>
      <c r="G30">
        <f>G14*G29*G9/G15</f>
        <v>76199.999999999985</v>
      </c>
      <c r="H30" t="s">
        <v>28</v>
      </c>
      <c r="I30" t="s">
        <v>93</v>
      </c>
      <c r="J30">
        <f>J29*(1-0.068/G11)</f>
        <v>0.78537780375525168</v>
      </c>
      <c r="Q30">
        <f t="shared" si="5"/>
        <v>0.98850000000000127</v>
      </c>
      <c r="R30">
        <f t="shared" si="0"/>
        <v>-8.1705980251913655</v>
      </c>
      <c r="Y30">
        <f t="shared" si="7"/>
        <v>0.14699999999999999</v>
      </c>
      <c r="Z30" s="2">
        <f t="shared" si="2"/>
        <v>1.1776827172811768</v>
      </c>
    </row>
    <row r="31" spans="5:26" x14ac:dyDescent="0.3">
      <c r="E31" t="s">
        <v>30</v>
      </c>
      <c r="F31" t="s">
        <v>29</v>
      </c>
      <c r="G31">
        <f>EXP(-(7.85*10^-3*G8+2.48*10^-6*G30))</f>
        <v>0.82780637380929878</v>
      </c>
      <c r="H31" t="s">
        <v>28</v>
      </c>
      <c r="I31" t="s">
        <v>94</v>
      </c>
      <c r="J31">
        <f>-24.729+0.00766*EXP(9.91209*J30)+24.721*EXP(0.20524*J30)</f>
        <v>22.727740099496042</v>
      </c>
      <c r="K31" t="s">
        <v>116</v>
      </c>
      <c r="L31">
        <f>cal_inv_hlls(0.8,G31 )</f>
        <v>0.77145643900915783</v>
      </c>
      <c r="Q31">
        <f t="shared" si="5"/>
        <v>0.98800000000000132</v>
      </c>
      <c r="R31">
        <f t="shared" si="0"/>
        <v>-8.1049264399170511</v>
      </c>
      <c r="Y31">
        <f t="shared" si="7"/>
        <v>0.14599999999999999</v>
      </c>
      <c r="Z31" s="2">
        <f t="shared" si="2"/>
        <v>1.2110244241188441</v>
      </c>
    </row>
    <row r="32" spans="5:26" x14ac:dyDescent="0.3">
      <c r="F32" t="s">
        <v>33</v>
      </c>
      <c r="G32">
        <f>G14*G31+G23*(1-G31)</f>
        <v>828.02781867414933</v>
      </c>
      <c r="H32" t="s">
        <v>24</v>
      </c>
      <c r="I32" t="s">
        <v>95</v>
      </c>
      <c r="J32">
        <f>J31*G29/G9/(1-0.05*G16)/G9^0.3/3600</f>
        <v>0.92973177876589619</v>
      </c>
      <c r="K32" t="s">
        <v>96</v>
      </c>
      <c r="Q32">
        <f t="shared" si="5"/>
        <v>0.98750000000000138</v>
      </c>
      <c r="R32">
        <f t="shared" si="0"/>
        <v>-8.0405242111309985</v>
      </c>
      <c r="Y32">
        <f t="shared" si="7"/>
        <v>0.14499999999999999</v>
      </c>
      <c r="Z32" s="2">
        <f t="shared" si="2"/>
        <v>1.2453016558582066</v>
      </c>
    </row>
    <row r="33" spans="1:26" x14ac:dyDescent="0.3">
      <c r="F33" t="s">
        <v>34</v>
      </c>
      <c r="G33">
        <f>G15*G31+G24*(1-G31)</f>
        <v>8.3095235135980294E-4</v>
      </c>
      <c r="H33" t="s">
        <v>16</v>
      </c>
      <c r="Q33">
        <f t="shared" si="5"/>
        <v>0.98700000000000143</v>
      </c>
      <c r="R33">
        <f t="shared" si="0"/>
        <v>-7.9773128775643016</v>
      </c>
      <c r="Y33">
        <f t="shared" si="7"/>
        <v>0.14399999999999999</v>
      </c>
      <c r="Z33" s="2">
        <f t="shared" si="2"/>
        <v>1.2805445550720826</v>
      </c>
    </row>
    <row r="34" spans="1:26" x14ac:dyDescent="0.3">
      <c r="E34" t="s">
        <v>36</v>
      </c>
      <c r="F34" t="s">
        <v>35</v>
      </c>
      <c r="G34">
        <v>1.2</v>
      </c>
      <c r="Y34">
        <f t="shared" si="7"/>
        <v>0.14299999999999999</v>
      </c>
      <c r="Z34" s="2">
        <f t="shared" si="2"/>
        <v>1.3167844374348272</v>
      </c>
    </row>
    <row r="35" spans="1:26" x14ac:dyDescent="0.3">
      <c r="E35" t="s">
        <v>38</v>
      </c>
      <c r="F35" t="s">
        <v>37</v>
      </c>
      <c r="G35">
        <f>G34*G29+0.54*(G6*G9)^0.5*COS(G7)+0.35*(G6*G9)^0.5*SIN(G7)</f>
        <v>2.7299660709830631</v>
      </c>
      <c r="H35" t="s">
        <v>5</v>
      </c>
      <c r="Y35">
        <f t="shared" si="7"/>
        <v>0.14199999999999999</v>
      </c>
      <c r="Z35" s="2">
        <f t="shared" si="2"/>
        <v>1.3540538455890561</v>
      </c>
    </row>
    <row r="36" spans="1:26" x14ac:dyDescent="0.3">
      <c r="A36" t="s">
        <v>85</v>
      </c>
      <c r="B36" t="s">
        <v>86</v>
      </c>
      <c r="C36" t="s">
        <v>87</v>
      </c>
      <c r="E36" t="s">
        <v>42</v>
      </c>
      <c r="F36" t="s">
        <v>43</v>
      </c>
      <c r="G36">
        <f>(G35-G29)*G14*G10*G31</f>
        <v>0.68892393443476041</v>
      </c>
      <c r="H36" t="s">
        <v>44</v>
      </c>
      <c r="Y36">
        <f t="shared" si="7"/>
        <v>0.14099999999999999</v>
      </c>
      <c r="Z36" s="2">
        <f t="shared" si="2"/>
        <v>1.3923866058787868</v>
      </c>
    </row>
    <row r="37" spans="1:26" x14ac:dyDescent="0.3">
      <c r="A37">
        <v>5</v>
      </c>
      <c r="B37">
        <v>1.016</v>
      </c>
      <c r="C37">
        <v>-1.0787943690214279</v>
      </c>
      <c r="D37" s="3"/>
      <c r="E37" t="s">
        <v>46</v>
      </c>
      <c r="F37" t="s">
        <v>45</v>
      </c>
      <c r="G37">
        <f>G31*G9</f>
        <v>3.1539422842134276E-2</v>
      </c>
      <c r="H37" t="s">
        <v>1</v>
      </c>
      <c r="Y37">
        <f t="shared" si="7"/>
        <v>0.13999999999999999</v>
      </c>
      <c r="Z37" s="2">
        <f t="shared" si="2"/>
        <v>1.431817888122745</v>
      </c>
    </row>
    <row r="38" spans="1:26" x14ac:dyDescent="0.3">
      <c r="A38">
        <v>1</v>
      </c>
      <c r="B38">
        <v>0.76200000000000001</v>
      </c>
      <c r="C38">
        <v>-1.0093550362162642</v>
      </c>
      <c r="F38" t="s">
        <v>47</v>
      </c>
      <c r="G38">
        <f>G35-G29</f>
        <v>0.7299660709830631</v>
      </c>
      <c r="Y38">
        <f t="shared" si="7"/>
        <v>0.13899999999999998</v>
      </c>
      <c r="Z38" s="2">
        <f t="shared" si="2"/>
        <v>1.4723842686136757</v>
      </c>
    </row>
    <row r="39" spans="1:26" x14ac:dyDescent="0.3">
      <c r="A39">
        <v>2</v>
      </c>
      <c r="B39">
        <v>0.38100000000000001</v>
      </c>
      <c r="C39">
        <v>-0.91944360871169384</v>
      </c>
      <c r="F39" t="s">
        <v>50</v>
      </c>
      <c r="G39">
        <f>H39</f>
        <v>0.87992557392652904</v>
      </c>
      <c r="H39">
        <f>cal_hcrit(0.1,$G$36,$G$14,$G$6,$G$10,$G$9,$G$7)</f>
        <v>0.87992557392652904</v>
      </c>
      <c r="I39">
        <f>Cal_hC_TTBN(0.037)</f>
        <v>3.4560702096986542E-2</v>
      </c>
      <c r="Y39">
        <f t="shared" si="7"/>
        <v>0.13799999999999998</v>
      </c>
      <c r="Z39" s="2">
        <f t="shared" si="2"/>
        <v>1.5141237965419654</v>
      </c>
    </row>
    <row r="40" spans="1:26" x14ac:dyDescent="0.3">
      <c r="A40">
        <v>3</v>
      </c>
      <c r="B40">
        <v>7.619999999999999E-2</v>
      </c>
      <c r="C40">
        <v>-0.85725394505866914</v>
      </c>
      <c r="F40" t="s">
        <v>51</v>
      </c>
      <c r="G40">
        <f>G39*G9</f>
        <v>3.3525164366600753E-2</v>
      </c>
      <c r="Y40">
        <f t="shared" si="7"/>
        <v>0.13699999999999998</v>
      </c>
      <c r="Z40" s="2">
        <f t="shared" si="2"/>
        <v>1.5570760640559878</v>
      </c>
    </row>
    <row r="41" spans="1:26" x14ac:dyDescent="0.3">
      <c r="A41">
        <v>4</v>
      </c>
      <c r="B41">
        <v>1.2699999999999999E-2</v>
      </c>
      <c r="C41">
        <v>-0.84523782786294721</v>
      </c>
      <c r="E41" t="s">
        <v>52</v>
      </c>
      <c r="G41" t="b">
        <f>(G37&gt;G40)</f>
        <v>0</v>
      </c>
      <c r="Y41">
        <f t="shared" si="7"/>
        <v>0.13599999999999998</v>
      </c>
      <c r="Z41" s="2">
        <f t="shared" si="2"/>
        <v>1.6012822801860036</v>
      </c>
    </row>
    <row r="42" spans="1:26" x14ac:dyDescent="0.3">
      <c r="F42" t="s">
        <v>53</v>
      </c>
      <c r="G42" t="b">
        <f>NOT(G41)</f>
        <v>1</v>
      </c>
      <c r="Y42">
        <f t="shared" si="7"/>
        <v>0.13499999999999998</v>
      </c>
      <c r="Z42" s="2">
        <f t="shared" si="2"/>
        <v>1.6467853488747164</v>
      </c>
    </row>
    <row r="43" spans="1:26" x14ac:dyDescent="0.3">
      <c r="E43" t="s">
        <v>54</v>
      </c>
      <c r="F43" t="s">
        <v>59</v>
      </c>
      <c r="G43">
        <f>30*G9</f>
        <v>1.1429999999999998</v>
      </c>
      <c r="H43" t="s">
        <v>1</v>
      </c>
      <c r="J43" t="s">
        <v>88</v>
      </c>
      <c r="Y43">
        <f t="shared" si="7"/>
        <v>0.13399999999999998</v>
      </c>
      <c r="Z43" s="2">
        <f t="shared" si="2"/>
        <v>1.6936299513746107</v>
      </c>
    </row>
    <row r="44" spans="1:26" x14ac:dyDescent="0.3">
      <c r="F44" t="s">
        <v>4</v>
      </c>
      <c r="G44">
        <f>G11/0.3048</f>
        <v>3.280839895013123</v>
      </c>
      <c r="H44" t="s">
        <v>55</v>
      </c>
      <c r="Y44">
        <f t="shared" si="7"/>
        <v>0.13299999999999998</v>
      </c>
      <c r="Z44" s="2">
        <f t="shared" si="2"/>
        <v>1.741862633290769</v>
      </c>
    </row>
    <row r="45" spans="1:26" x14ac:dyDescent="0.3">
      <c r="F45" t="s">
        <v>27</v>
      </c>
      <c r="G45">
        <f>G29/0.3048</f>
        <v>6.561679790026246</v>
      </c>
      <c r="H45" t="s">
        <v>55</v>
      </c>
      <c r="Y45">
        <f t="shared" si="7"/>
        <v>0.13199999999999998</v>
      </c>
      <c r="Z45" s="2">
        <f t="shared" si="2"/>
        <v>1.7915318965679832</v>
      </c>
    </row>
    <row r="46" spans="1:26" x14ac:dyDescent="0.3">
      <c r="F46" t="s">
        <v>56</v>
      </c>
      <c r="G46">
        <f>0.0226*(G44/32.2/(G9/0.0254/12))^1.2*(212.6/G45+G45)^1.2*(0.836+2.75*(SIN(G7))^0.25)</f>
        <v>1.1982463569445232</v>
      </c>
      <c r="H46" t="s">
        <v>57</v>
      </c>
      <c r="Y46">
        <f t="shared" si="7"/>
        <v>0.13099999999999998</v>
      </c>
      <c r="Z46" s="2">
        <f t="shared" si="2"/>
        <v>1.8426882967424443</v>
      </c>
    </row>
    <row r="47" spans="1:26" x14ac:dyDescent="0.3">
      <c r="F47" t="s">
        <v>58</v>
      </c>
      <c r="G47">
        <f>G35/G46</f>
        <v>2.2783011649994576</v>
      </c>
      <c r="H47" t="s">
        <v>1</v>
      </c>
      <c r="I47">
        <f>G35/J32</f>
        <v>2.9362942445688529</v>
      </c>
      <c r="Y47">
        <f t="shared" si="7"/>
        <v>0.12999999999999998</v>
      </c>
      <c r="Z47" s="2">
        <f t="shared" si="2"/>
        <v>1.8953845458019636</v>
      </c>
    </row>
    <row r="48" spans="1:26" x14ac:dyDescent="0.3">
      <c r="F48" t="s">
        <v>60</v>
      </c>
      <c r="G48">
        <f>G47-G43</f>
        <v>1.1353011649994578</v>
      </c>
      <c r="H48" t="s">
        <v>1</v>
      </c>
      <c r="Z48" s="2"/>
    </row>
    <row r="49" spans="6:50" x14ac:dyDescent="0.3">
      <c r="F49" t="s">
        <v>61</v>
      </c>
      <c r="G49" t="s">
        <v>62</v>
      </c>
    </row>
    <row r="50" spans="6:50" x14ac:dyDescent="0.3">
      <c r="W50" t="s">
        <v>110</v>
      </c>
    </row>
    <row r="51" spans="6:50" ht="15" customHeight="1" x14ac:dyDescent="0.3">
      <c r="F51" t="s">
        <v>65</v>
      </c>
      <c r="G51" s="1">
        <f>1*G29+1.53*(G6*G5*(G14-G23)/G14^2)^0.25*G31^0.5*SIN(G7)</f>
        <v>2</v>
      </c>
      <c r="H51" t="s">
        <v>5</v>
      </c>
      <c r="W51" t="s">
        <v>111</v>
      </c>
      <c r="X51">
        <f>G47</f>
        <v>2.2783011649994576</v>
      </c>
      <c r="Y51">
        <f>X51*5</f>
        <v>11.391505824997289</v>
      </c>
      <c r="Z51">
        <f>Y51-X51</f>
        <v>9.1132046599978302</v>
      </c>
    </row>
    <row r="52" spans="6:50" x14ac:dyDescent="0.3">
      <c r="F52" t="s">
        <v>66</v>
      </c>
      <c r="G52">
        <f>(G29-G51*(1-G31))/G31</f>
        <v>2</v>
      </c>
      <c r="H52" t="s">
        <v>5</v>
      </c>
      <c r="Q52">
        <v>0</v>
      </c>
      <c r="W52" t="s">
        <v>112</v>
      </c>
      <c r="X52">
        <f>G43</f>
        <v>1.1429999999999998</v>
      </c>
    </row>
    <row r="53" spans="6:50" x14ac:dyDescent="0.3">
      <c r="F53" t="s">
        <v>67</v>
      </c>
      <c r="G53" s="3">
        <f>(G35-G52)*G14*G10*G31</f>
        <v>0.68892393443476041</v>
      </c>
      <c r="H53" t="s">
        <v>44</v>
      </c>
      <c r="I53" t="s">
        <v>80</v>
      </c>
      <c r="Q53">
        <f>COLUMN()</f>
        <v>17</v>
      </c>
      <c r="W53" t="s">
        <v>113</v>
      </c>
      <c r="X53">
        <f>G48</f>
        <v>1.1353011649994578</v>
      </c>
      <c r="AL53" s="4"/>
      <c r="AO53" s="4"/>
    </row>
    <row r="54" spans="6:50" x14ac:dyDescent="0.3">
      <c r="F54" s="5" t="s">
        <v>72</v>
      </c>
      <c r="G54" s="3">
        <f>MIN(cal_inv_hlls(0.8,G31 ),G39)*0.999</f>
        <v>0.77068498257014872</v>
      </c>
      <c r="H54" t="s">
        <v>28</v>
      </c>
      <c r="J54">
        <v>0</v>
      </c>
      <c r="Q54" t="s">
        <v>68</v>
      </c>
    </row>
    <row r="55" spans="6:50" x14ac:dyDescent="0.3">
      <c r="F55" s="5" t="s">
        <v>71</v>
      </c>
      <c r="G55" s="3">
        <f>G54*G9</f>
        <v>2.9363097835922662E-2</v>
      </c>
      <c r="H55" t="s">
        <v>73</v>
      </c>
      <c r="L55" t="s">
        <v>78</v>
      </c>
      <c r="M55" t="s">
        <v>77</v>
      </c>
      <c r="N55" t="s">
        <v>79</v>
      </c>
      <c r="P55">
        <f>ROW()</f>
        <v>55</v>
      </c>
      <c r="Q55" t="s">
        <v>69</v>
      </c>
      <c r="R55" t="s">
        <v>70</v>
      </c>
      <c r="T55" t="s">
        <v>74</v>
      </c>
      <c r="AA55">
        <v>30.105662832572801</v>
      </c>
      <c r="AX55" s="4"/>
    </row>
    <row r="56" spans="6:50" x14ac:dyDescent="0.3">
      <c r="F56" s="5" t="s">
        <v>75</v>
      </c>
      <c r="G56" s="3">
        <f>(G35-G52)*G31/G35</f>
        <v>0.22134728070327714</v>
      </c>
      <c r="I56">
        <f>J56*-1</f>
        <v>0</v>
      </c>
      <c r="J56">
        <v>0</v>
      </c>
      <c r="K56">
        <v>2.9363097835922662E-2</v>
      </c>
      <c r="L56">
        <f>K56/$G$9</f>
        <v>0.77068498257014872</v>
      </c>
      <c r="M56">
        <v>1.9992714550354815</v>
      </c>
      <c r="N56">
        <f>cal_hltb(L56)</f>
        <v>0.82698100278278175</v>
      </c>
      <c r="Q56">
        <v>0</v>
      </c>
      <c r="R56">
        <v>2.9363097835922662E-2</v>
      </c>
      <c r="S56">
        <f>Q56*-1</f>
        <v>0</v>
      </c>
      <c r="T56">
        <f>R56/$G$9</f>
        <v>0.77068498257014872</v>
      </c>
      <c r="W56">
        <v>0</v>
      </c>
      <c r="X56">
        <f>$W$107-W56</f>
        <v>1.7500498409303191</v>
      </c>
      <c r="Y56">
        <f>L31</f>
        <v>0.77145643900915783</v>
      </c>
      <c r="Z56">
        <v>1</v>
      </c>
      <c r="AA56">
        <f>$AA$55-(Z56-1)*$X$51-W56</f>
        <v>30.105662832572801</v>
      </c>
      <c r="AB56">
        <f>Y56</f>
        <v>0.77145643900915783</v>
      </c>
    </row>
    <row r="57" spans="6:50" x14ac:dyDescent="0.3">
      <c r="G57">
        <f>cal_inv_hlls(0.5,G56)</f>
        <v>0.27309847600955267</v>
      </c>
      <c r="I57">
        <f t="shared" ref="I57:I68" si="8">J57*-1</f>
        <v>-1.0000000000000001E-5</v>
      </c>
      <c r="J57">
        <v>1.0000000000000001E-5</v>
      </c>
      <c r="K57">
        <v>2.9362128193185646E-2</v>
      </c>
      <c r="L57">
        <f t="shared" ref="L57:L87" si="9">K57/$G$9</f>
        <v>0.77065953262954456</v>
      </c>
      <c r="M57">
        <v>1.9992473812309255</v>
      </c>
      <c r="N57">
        <f t="shared" ref="N57:N68" si="10">cal_hltb(L57)</f>
        <v>0.82695375757978939</v>
      </c>
      <c r="Q57">
        <v>9.9999999999999995E-7</v>
      </c>
      <c r="R57">
        <v>2.9362641674863195E-2</v>
      </c>
      <c r="S57">
        <f t="shared" ref="S57:S69" si="11">Q57*-1</f>
        <v>-9.9999999999999995E-7</v>
      </c>
      <c r="T57">
        <f t="shared" ref="T57:T105" si="12">R57/$G$9</f>
        <v>0.77067300983892906</v>
      </c>
      <c r="W57">
        <f>X52</f>
        <v>1.1429999999999998</v>
      </c>
      <c r="X57">
        <f t="shared" ref="X57:X73" si="13">$W$107-W57</f>
        <v>0.60704984093031933</v>
      </c>
      <c r="Y57">
        <f>L31</f>
        <v>0.77145643900915783</v>
      </c>
      <c r="Z57">
        <v>1</v>
      </c>
      <c r="AA57">
        <f t="shared" ref="AA57:AA120" si="14">$AA$55-(Z57-1)*$X$51-W57</f>
        <v>28.9626628325728</v>
      </c>
      <c r="AB57">
        <f t="shared" ref="AB57:AB73" si="15">Y57</f>
        <v>0.77145643900915783</v>
      </c>
    </row>
    <row r="58" spans="6:50" x14ac:dyDescent="0.3">
      <c r="F58" s="5" t="s">
        <v>76</v>
      </c>
      <c r="G58">
        <f>G57*G9</f>
        <v>1.0405051935963956E-2</v>
      </c>
      <c r="I58">
        <f t="shared" si="8"/>
        <v>-1.2721719185981511E-2</v>
      </c>
      <c r="J58">
        <v>1.2721719185981511E-2</v>
      </c>
      <c r="K58">
        <v>2.8318191708006351E-2</v>
      </c>
      <c r="L58">
        <f t="shared" si="9"/>
        <v>0.74325962488205655</v>
      </c>
      <c r="M58">
        <v>1.971816610075384</v>
      </c>
      <c r="N58">
        <f t="shared" si="10"/>
        <v>0.79703356314579443</v>
      </c>
      <c r="Q58">
        <v>5.4989041574300072E-4</v>
      </c>
      <c r="R58">
        <v>2.9126952961623671E-2</v>
      </c>
      <c r="S58">
        <f t="shared" si="11"/>
        <v>-5.4989041574300072E-4</v>
      </c>
      <c r="T58">
        <f t="shared" si="12"/>
        <v>0.76448695437332481</v>
      </c>
      <c r="W58">
        <f>$W$57+Q56</f>
        <v>1.1429999999999998</v>
      </c>
      <c r="X58">
        <f t="shared" si="13"/>
        <v>0.60704984093031933</v>
      </c>
      <c r="Y58">
        <f>T56</f>
        <v>0.77068498257014872</v>
      </c>
      <c r="Z58">
        <v>1</v>
      </c>
      <c r="AA58">
        <f t="shared" si="14"/>
        <v>28.9626628325728</v>
      </c>
      <c r="AB58">
        <f t="shared" si="15"/>
        <v>0.77068498257014872</v>
      </c>
    </row>
    <row r="59" spans="6:50" x14ac:dyDescent="0.3">
      <c r="G59" s="3"/>
      <c r="I59">
        <f t="shared" si="8"/>
        <v>-3.1961953152062572E-2</v>
      </c>
      <c r="J59">
        <v>3.1961953152062572E-2</v>
      </c>
      <c r="K59">
        <v>2.7162602008656354E-2</v>
      </c>
      <c r="L59">
        <f t="shared" si="9"/>
        <v>0.71292918657890703</v>
      </c>
      <c r="M59">
        <v>1.9376635265615652</v>
      </c>
      <c r="N59">
        <f t="shared" si="10"/>
        <v>0.76267654380123273</v>
      </c>
      <c r="Q59">
        <v>2.5954702393724207E-3</v>
      </c>
      <c r="R59">
        <v>2.8430905526483131E-2</v>
      </c>
      <c r="S59">
        <f t="shared" si="11"/>
        <v>-2.5954702393724207E-3</v>
      </c>
      <c r="T59">
        <f t="shared" si="12"/>
        <v>0.7462179928210797</v>
      </c>
      <c r="W59">
        <f t="shared" ref="W59:W73" si="16">$W$57+Q57</f>
        <v>1.1430009999999997</v>
      </c>
      <c r="X59">
        <f t="shared" si="13"/>
        <v>0.60704884093031941</v>
      </c>
      <c r="Y59">
        <f t="shared" ref="Y59:Y73" si="17">T57</f>
        <v>0.77067300983892906</v>
      </c>
      <c r="Z59">
        <v>1</v>
      </c>
      <c r="AA59">
        <f t="shared" si="14"/>
        <v>28.962661832572802</v>
      </c>
      <c r="AB59">
        <f t="shared" si="15"/>
        <v>0.77067300983892906</v>
      </c>
    </row>
    <row r="60" spans="6:50" x14ac:dyDescent="0.3">
      <c r="F60" t="s">
        <v>81</v>
      </c>
      <c r="G60" s="3">
        <f>AL53</f>
        <v>0</v>
      </c>
      <c r="I60">
        <f t="shared" si="8"/>
        <v>-6.6808471873563646E-2</v>
      </c>
      <c r="J60">
        <v>6.6808471873563646E-2</v>
      </c>
      <c r="K60">
        <v>2.5674477276855404E-2</v>
      </c>
      <c r="L60">
        <f t="shared" si="9"/>
        <v>0.67387079466812094</v>
      </c>
      <c r="M60">
        <v>1.8869933024331242</v>
      </c>
      <c r="N60">
        <f t="shared" si="10"/>
        <v>0.71683284296806171</v>
      </c>
      <c r="Q60">
        <v>5.012098028024721E-3</v>
      </c>
      <c r="R60">
        <v>2.7823388665899545E-2</v>
      </c>
      <c r="S60">
        <f t="shared" si="11"/>
        <v>-5.012098028024721E-3</v>
      </c>
      <c r="T60">
        <f t="shared" si="12"/>
        <v>0.73027266839631366</v>
      </c>
      <c r="W60">
        <f t="shared" si="16"/>
        <v>1.1435498904157428</v>
      </c>
      <c r="X60">
        <f t="shared" si="13"/>
        <v>0.60649995051457628</v>
      </c>
      <c r="Y60">
        <f t="shared" si="17"/>
        <v>0.76448695437332481</v>
      </c>
      <c r="Z60">
        <v>1</v>
      </c>
      <c r="AA60">
        <f t="shared" si="14"/>
        <v>28.962112942157059</v>
      </c>
      <c r="AB60">
        <f t="shared" si="15"/>
        <v>0.76448695437332481</v>
      </c>
    </row>
    <row r="61" spans="6:50" x14ac:dyDescent="0.3">
      <c r="F61" t="s">
        <v>82</v>
      </c>
      <c r="G61" s="3">
        <f>G29/G46/(G31-G60)*(G11/G29-G60+0.2*(G31-G60))</f>
        <v>1.3419710817634503</v>
      </c>
      <c r="I61">
        <f t="shared" si="8"/>
        <v>-0.12880618509528036</v>
      </c>
      <c r="J61">
        <v>0.12880618509528036</v>
      </c>
      <c r="K61">
        <v>2.388960222241901E-2</v>
      </c>
      <c r="L61">
        <f t="shared" si="9"/>
        <v>0.6270236803784518</v>
      </c>
      <c r="M61">
        <v>1.8143694201336409</v>
      </c>
      <c r="N61">
        <f t="shared" si="10"/>
        <v>0.65997463584397509</v>
      </c>
      <c r="Q61">
        <v>9.1461796584276292E-3</v>
      </c>
      <c r="R61">
        <v>2.7056916070819993E-2</v>
      </c>
      <c r="S61">
        <f t="shared" si="11"/>
        <v>-9.1461796584276292E-3</v>
      </c>
      <c r="T61">
        <f t="shared" si="12"/>
        <v>0.7101552774493437</v>
      </c>
      <c r="W61">
        <f t="shared" si="16"/>
        <v>1.1455954702393722</v>
      </c>
      <c r="X61">
        <f t="shared" si="13"/>
        <v>0.60445437069094687</v>
      </c>
      <c r="Y61">
        <f t="shared" si="17"/>
        <v>0.7462179928210797</v>
      </c>
      <c r="Z61">
        <v>1</v>
      </c>
      <c r="AA61">
        <f t="shared" si="14"/>
        <v>28.960067362333429</v>
      </c>
      <c r="AB61">
        <f t="shared" si="15"/>
        <v>0.7462179928210797</v>
      </c>
    </row>
    <row r="62" spans="6:50" x14ac:dyDescent="0.3">
      <c r="F62" t="s">
        <v>84</v>
      </c>
      <c r="G62" s="3">
        <f>AO53</f>
        <v>0</v>
      </c>
      <c r="I62">
        <f t="shared" si="8"/>
        <v>-0.24789321520657626</v>
      </c>
      <c r="J62">
        <v>0.24789321520657626</v>
      </c>
      <c r="K62">
        <v>2.1736051398835148E-2</v>
      </c>
      <c r="L62">
        <f t="shared" si="9"/>
        <v>0.5705000367148334</v>
      </c>
      <c r="M62">
        <v>1.7048493064412544</v>
      </c>
      <c r="N62">
        <f t="shared" si="10"/>
        <v>0.58946510985448419</v>
      </c>
      <c r="Q62">
        <v>1.4464405515152127E-2</v>
      </c>
      <c r="R62">
        <v>2.6335578778223567E-2</v>
      </c>
      <c r="S62">
        <f t="shared" si="11"/>
        <v>-1.4464405515152127E-2</v>
      </c>
      <c r="T62">
        <f t="shared" si="12"/>
        <v>0.69122254011085482</v>
      </c>
      <c r="W62">
        <f t="shared" si="16"/>
        <v>1.1480120980280246</v>
      </c>
      <c r="X62">
        <f t="shared" si="13"/>
        <v>0.6020377429022945</v>
      </c>
      <c r="Y62">
        <f t="shared" si="17"/>
        <v>0.73027266839631366</v>
      </c>
      <c r="Z62">
        <v>1</v>
      </c>
      <c r="AA62">
        <f t="shared" si="14"/>
        <v>28.957650734544774</v>
      </c>
      <c r="AB62">
        <f t="shared" si="15"/>
        <v>0.73027266839631366</v>
      </c>
    </row>
    <row r="63" spans="6:50" x14ac:dyDescent="0.3">
      <c r="I63">
        <f t="shared" si="8"/>
        <v>-0.47760882151037481</v>
      </c>
      <c r="J63">
        <v>0.47760882151037481</v>
      </c>
      <c r="K63">
        <v>1.9357369120600647E-2</v>
      </c>
      <c r="L63">
        <f t="shared" si="9"/>
        <v>0.50806743098689366</v>
      </c>
      <c r="M63">
        <v>1.5457518404504584</v>
      </c>
      <c r="N63">
        <f t="shared" si="10"/>
        <v>0.51027132645799889</v>
      </c>
      <c r="Q63">
        <v>2.4916082410517227E-2</v>
      </c>
      <c r="R63">
        <v>2.5336275598548109E-2</v>
      </c>
      <c r="S63">
        <f t="shared" si="11"/>
        <v>-2.4916082410517227E-2</v>
      </c>
      <c r="T63">
        <f t="shared" si="12"/>
        <v>0.66499411019811316</v>
      </c>
      <c r="W63">
        <f t="shared" si="16"/>
        <v>1.1521461796584274</v>
      </c>
      <c r="X63">
        <f t="shared" si="13"/>
        <v>0.59790366127189176</v>
      </c>
      <c r="Y63">
        <f t="shared" si="17"/>
        <v>0.7101552774493437</v>
      </c>
      <c r="Z63">
        <v>1</v>
      </c>
      <c r="AA63">
        <f t="shared" si="14"/>
        <v>28.953516652914374</v>
      </c>
      <c r="AB63">
        <f t="shared" si="15"/>
        <v>0.7101552774493437</v>
      </c>
    </row>
    <row r="64" spans="6:50" x14ac:dyDescent="0.3">
      <c r="F64" t="s">
        <v>97</v>
      </c>
      <c r="G64" s="3">
        <f>G14*G10*AL54</f>
        <v>0</v>
      </c>
      <c r="I64">
        <f t="shared" si="8"/>
        <v>-0.90980207159501292</v>
      </c>
      <c r="J64">
        <v>0.90980207159501292</v>
      </c>
      <c r="K64">
        <v>1.7028192529006354E-2</v>
      </c>
      <c r="L64">
        <f t="shared" si="9"/>
        <v>0.44693418711302774</v>
      </c>
      <c r="M64">
        <v>1.3330075476420551</v>
      </c>
      <c r="N64">
        <f t="shared" si="10"/>
        <v>0.43256156580735056</v>
      </c>
      <c r="Q64">
        <v>4.0100589395595354E-2</v>
      </c>
      <c r="R64">
        <v>2.4349594709625746E-2</v>
      </c>
      <c r="S64">
        <f t="shared" si="11"/>
        <v>-4.0100589395595354E-2</v>
      </c>
      <c r="T64">
        <f t="shared" si="12"/>
        <v>0.63909697400592513</v>
      </c>
      <c r="W64">
        <f t="shared" si="16"/>
        <v>1.157464405515152</v>
      </c>
      <c r="X64">
        <f t="shared" si="13"/>
        <v>0.59258543541516717</v>
      </c>
      <c r="Y64">
        <f t="shared" si="17"/>
        <v>0.69122254011085482</v>
      </c>
      <c r="Z64">
        <v>1</v>
      </c>
      <c r="AA64">
        <f t="shared" si="14"/>
        <v>28.948198427057648</v>
      </c>
      <c r="AB64">
        <f t="shared" si="15"/>
        <v>0.69122254011085482</v>
      </c>
    </row>
    <row r="65" spans="1:28" x14ac:dyDescent="0.3">
      <c r="F65" t="s">
        <v>98</v>
      </c>
      <c r="G65" s="3">
        <f>G14*G43*G10*G31</f>
        <v>1.0787351472356328</v>
      </c>
      <c r="I65">
        <f t="shared" si="8"/>
        <v>-1.1353011649994578</v>
      </c>
      <c r="J65">
        <v>1.1353011649994578</v>
      </c>
      <c r="K65">
        <v>1.6271835977717058E-2</v>
      </c>
      <c r="L65">
        <f t="shared" si="9"/>
        <v>0.42708230912643202</v>
      </c>
      <c r="M65">
        <v>1.2470515305680019</v>
      </c>
      <c r="N65">
        <f t="shared" si="10"/>
        <v>0.40748846258880028</v>
      </c>
      <c r="Q65">
        <v>6.7906937615651808E-2</v>
      </c>
      <c r="R65">
        <v>2.3157932073555491E-2</v>
      </c>
      <c r="S65">
        <f t="shared" si="11"/>
        <v>-6.7906937615651808E-2</v>
      </c>
      <c r="T65">
        <f t="shared" si="12"/>
        <v>0.60781973946339873</v>
      </c>
      <c r="W65">
        <f t="shared" si="16"/>
        <v>1.167916082410517</v>
      </c>
      <c r="X65">
        <f t="shared" si="13"/>
        <v>0.58213375851980209</v>
      </c>
      <c r="Y65">
        <f t="shared" si="17"/>
        <v>0.66499411019811316</v>
      </c>
      <c r="Z65">
        <v>1</v>
      </c>
      <c r="AA65">
        <f t="shared" si="14"/>
        <v>28.937746750162283</v>
      </c>
      <c r="AB65">
        <f t="shared" si="15"/>
        <v>0.66499411019811316</v>
      </c>
    </row>
    <row r="66" spans="1:28" x14ac:dyDescent="0.3">
      <c r="F66" t="s">
        <v>99</v>
      </c>
      <c r="G66" s="6">
        <f>(G64+G65)*G46-G36</f>
        <v>0.60366652584835045</v>
      </c>
      <c r="H66">
        <f>(G64+G65)*J32-G36</f>
        <v>0.31401041282191544</v>
      </c>
      <c r="I66">
        <f t="shared" si="8"/>
        <v>0</v>
      </c>
      <c r="L66">
        <f t="shared" si="9"/>
        <v>0</v>
      </c>
      <c r="M66">
        <v>1.9726966143263729</v>
      </c>
      <c r="N66">
        <f t="shared" si="10"/>
        <v>-9.895513228275199E-16</v>
      </c>
      <c r="Q66">
        <v>0.11214811594240734</v>
      </c>
      <c r="R66">
        <v>2.1950411119973885E-2</v>
      </c>
      <c r="S66">
        <f t="shared" si="11"/>
        <v>-0.11214811594240734</v>
      </c>
      <c r="T66">
        <f t="shared" si="12"/>
        <v>0.57612627611480016</v>
      </c>
      <c r="W66">
        <f t="shared" si="16"/>
        <v>1.183100589395595</v>
      </c>
      <c r="X66">
        <f t="shared" si="13"/>
        <v>0.56694925153472409</v>
      </c>
      <c r="Y66">
        <f t="shared" si="17"/>
        <v>0.63909697400592513</v>
      </c>
      <c r="Z66">
        <v>1</v>
      </c>
      <c r="AA66">
        <f t="shared" si="14"/>
        <v>28.922562243177204</v>
      </c>
      <c r="AB66">
        <f t="shared" si="15"/>
        <v>0.63909697400592513</v>
      </c>
    </row>
    <row r="67" spans="1:28" x14ac:dyDescent="0.3">
      <c r="F67" t="s">
        <v>100</v>
      </c>
      <c r="G67" s="3">
        <f>G12*G14</f>
        <v>1.1400918279693697</v>
      </c>
      <c r="I67">
        <f t="shared" si="8"/>
        <v>0</v>
      </c>
      <c r="L67">
        <f t="shared" si="9"/>
        <v>0</v>
      </c>
      <c r="M67">
        <v>1.9714119574182969</v>
      </c>
      <c r="N67">
        <f t="shared" si="10"/>
        <v>-9.895513228275199E-16</v>
      </c>
      <c r="Q67">
        <v>0.19543401586452824</v>
      </c>
      <c r="R67">
        <v>2.056407125760195E-2</v>
      </c>
      <c r="S67">
        <f t="shared" si="11"/>
        <v>-0.19543401586452824</v>
      </c>
      <c r="T67">
        <f t="shared" si="12"/>
        <v>0.53973940308666546</v>
      </c>
      <c r="W67">
        <f t="shared" si="16"/>
        <v>1.2109069376156516</v>
      </c>
      <c r="X67">
        <f t="shared" si="13"/>
        <v>0.53914290331466752</v>
      </c>
      <c r="Y67">
        <f t="shared" si="17"/>
        <v>0.60781973946339873</v>
      </c>
      <c r="Z67">
        <v>1</v>
      </c>
      <c r="AA67">
        <f t="shared" si="14"/>
        <v>28.89475589495715</v>
      </c>
      <c r="AB67">
        <f t="shared" si="15"/>
        <v>0.60781973946339873</v>
      </c>
    </row>
    <row r="68" spans="1:28" x14ac:dyDescent="0.3">
      <c r="F68" t="s">
        <v>102</v>
      </c>
      <c r="G68" s="3">
        <f>G65*G46</f>
        <v>1.2925904602831109</v>
      </c>
      <c r="I68">
        <f t="shared" si="8"/>
        <v>0</v>
      </c>
      <c r="L68">
        <f t="shared" si="9"/>
        <v>0</v>
      </c>
      <c r="M68">
        <v>1.9698532043241221</v>
      </c>
      <c r="N68">
        <f t="shared" si="10"/>
        <v>-9.895513228275199E-16</v>
      </c>
      <c r="Q68">
        <v>0.33225043882282573</v>
      </c>
      <c r="R68">
        <v>1.9225106863061569E-2</v>
      </c>
      <c r="S68">
        <f t="shared" si="11"/>
        <v>-0.33225043882282573</v>
      </c>
      <c r="T68">
        <f t="shared" si="12"/>
        <v>0.50459598065778399</v>
      </c>
      <c r="W68">
        <f t="shared" si="16"/>
        <v>1.2551481159424072</v>
      </c>
      <c r="X68">
        <f t="shared" si="13"/>
        <v>0.49490172498791196</v>
      </c>
      <c r="Y68">
        <f t="shared" si="17"/>
        <v>0.57612627611480016</v>
      </c>
      <c r="Z68">
        <v>1</v>
      </c>
      <c r="AA68">
        <f t="shared" si="14"/>
        <v>28.850514716630393</v>
      </c>
      <c r="AB68">
        <f t="shared" si="15"/>
        <v>0.57612627611480016</v>
      </c>
    </row>
    <row r="69" spans="1:28" x14ac:dyDescent="0.3">
      <c r="F69" t="s">
        <v>103</v>
      </c>
      <c r="G69" s="3">
        <f>G64*G46</f>
        <v>0</v>
      </c>
      <c r="L69">
        <f t="shared" si="9"/>
        <v>0</v>
      </c>
      <c r="M69">
        <v>1.9679482218743183</v>
      </c>
      <c r="Q69">
        <v>0.60704984093031933</v>
      </c>
      <c r="R69">
        <v>1.7733300965333747E-2</v>
      </c>
      <c r="S69">
        <f t="shared" si="11"/>
        <v>-0.60704984093031933</v>
      </c>
      <c r="T69">
        <f t="shared" si="12"/>
        <v>0.4654409702187336</v>
      </c>
      <c r="W69">
        <f t="shared" si="16"/>
        <v>1.338434015864528</v>
      </c>
      <c r="X69">
        <f t="shared" si="13"/>
        <v>0.41161582506579109</v>
      </c>
      <c r="Y69">
        <f t="shared" si="17"/>
        <v>0.53973940308666546</v>
      </c>
      <c r="Z69">
        <v>1</v>
      </c>
      <c r="AA69">
        <f t="shared" si="14"/>
        <v>28.767228816708272</v>
      </c>
      <c r="AB69">
        <f t="shared" si="15"/>
        <v>0.53973940308666546</v>
      </c>
    </row>
    <row r="70" spans="1:28" x14ac:dyDescent="0.3">
      <c r="F70" t="s">
        <v>43</v>
      </c>
      <c r="G70" s="3">
        <f>G36</f>
        <v>0.68892393443476041</v>
      </c>
      <c r="L70">
        <f t="shared" si="9"/>
        <v>0</v>
      </c>
      <c r="M70">
        <v>1.9656018741611891</v>
      </c>
      <c r="Q70">
        <v>1.0536564988861641</v>
      </c>
      <c r="R70">
        <v>1.6434305451217816E-2</v>
      </c>
      <c r="S70">
        <f>Q70*-1</f>
        <v>-1.0536564988861641</v>
      </c>
      <c r="T70">
        <f t="shared" si="12"/>
        <v>0.43134659976949657</v>
      </c>
      <c r="W70">
        <f t="shared" si="16"/>
        <v>1.4752504388228256</v>
      </c>
      <c r="X70">
        <f t="shared" si="13"/>
        <v>0.27479940210749354</v>
      </c>
      <c r="Y70">
        <f t="shared" si="17"/>
        <v>0.50459598065778399</v>
      </c>
      <c r="Z70">
        <v>1</v>
      </c>
      <c r="AA70">
        <f t="shared" si="14"/>
        <v>28.630412393749975</v>
      </c>
      <c r="AB70">
        <f t="shared" si="15"/>
        <v>0.50459598065778399</v>
      </c>
    </row>
    <row r="71" spans="1:28" x14ac:dyDescent="0.3">
      <c r="G71" s="3"/>
      <c r="L71">
        <f t="shared" si="9"/>
        <v>0</v>
      </c>
      <c r="M71">
        <v>1.9626873197289845</v>
      </c>
      <c r="Q71">
        <v>1.1353011649994578</v>
      </c>
      <c r="R71">
        <v>1.6265254121739622E-2</v>
      </c>
      <c r="S71">
        <f t="shared" ref="S71:S105" si="18">Q71*-1</f>
        <v>-1.1353011649994578</v>
      </c>
      <c r="T71">
        <f t="shared" si="12"/>
        <v>0.42690955700104</v>
      </c>
      <c r="W71">
        <f t="shared" si="16"/>
        <v>1.7500498409303191</v>
      </c>
      <c r="X71">
        <f t="shared" si="13"/>
        <v>0</v>
      </c>
      <c r="Y71">
        <f t="shared" si="17"/>
        <v>0.4654409702187336</v>
      </c>
      <c r="Z71">
        <v>1</v>
      </c>
      <c r="AA71">
        <f t="shared" si="14"/>
        <v>28.355612991642481</v>
      </c>
      <c r="AB71">
        <f t="shared" si="15"/>
        <v>0.4654409702187336</v>
      </c>
    </row>
    <row r="72" spans="1:28" x14ac:dyDescent="0.3">
      <c r="F72" t="s">
        <v>104</v>
      </c>
      <c r="G72" s="3">
        <f>AO54</f>
        <v>0</v>
      </c>
      <c r="L72">
        <f t="shared" si="9"/>
        <v>0</v>
      </c>
      <c r="M72">
        <v>1.9590334888680077</v>
      </c>
      <c r="S72">
        <f t="shared" si="18"/>
        <v>0</v>
      </c>
      <c r="T72">
        <f t="shared" si="12"/>
        <v>0</v>
      </c>
      <c r="W72">
        <f t="shared" si="16"/>
        <v>2.1966564988861639</v>
      </c>
      <c r="X72">
        <f t="shared" si="13"/>
        <v>-0.44660665795584475</v>
      </c>
      <c r="Y72">
        <f t="shared" si="17"/>
        <v>0.43134659976949657</v>
      </c>
      <c r="Z72">
        <v>1</v>
      </c>
      <c r="AA72">
        <f t="shared" si="14"/>
        <v>27.909006333686637</v>
      </c>
      <c r="AB72">
        <f t="shared" si="15"/>
        <v>0.43134659976949657</v>
      </c>
    </row>
    <row r="73" spans="1:28" x14ac:dyDescent="0.3">
      <c r="F73" t="s">
        <v>105</v>
      </c>
      <c r="G73" s="3">
        <f>G72*G10*G14/G35</f>
        <v>0</v>
      </c>
      <c r="L73">
        <f t="shared" si="9"/>
        <v>0</v>
      </c>
      <c r="M73">
        <v>1.9544068372117569</v>
      </c>
      <c r="S73">
        <f t="shared" si="18"/>
        <v>0</v>
      </c>
      <c r="T73">
        <f t="shared" si="12"/>
        <v>0</v>
      </c>
      <c r="W73">
        <f t="shared" si="16"/>
        <v>2.2783011649994576</v>
      </c>
      <c r="X73">
        <f t="shared" si="13"/>
        <v>-0.52825132406913844</v>
      </c>
      <c r="Y73">
        <f t="shared" si="17"/>
        <v>0.42690955700104</v>
      </c>
      <c r="Z73">
        <v>1</v>
      </c>
      <c r="AA73">
        <f t="shared" si="14"/>
        <v>27.827361667573342</v>
      </c>
      <c r="AB73">
        <f t="shared" si="15"/>
        <v>0.42690955700104</v>
      </c>
    </row>
    <row r="74" spans="1:28" x14ac:dyDescent="0.3">
      <c r="A74">
        <f>A79/G9</f>
        <v>3.7035866666666672</v>
      </c>
      <c r="F74" t="s">
        <v>106</v>
      </c>
      <c r="G74" s="3">
        <f>G29*G10*G14*G31*G43/G35</f>
        <v>0.79029198106273857</v>
      </c>
      <c r="L74">
        <f t="shared" si="9"/>
        <v>0</v>
      </c>
      <c r="M74">
        <v>1.9484843947247774</v>
      </c>
      <c r="S74">
        <f t="shared" si="18"/>
        <v>0</v>
      </c>
      <c r="T74">
        <f t="shared" si="12"/>
        <v>0</v>
      </c>
      <c r="W74">
        <f>W56</f>
        <v>0</v>
      </c>
      <c r="Z74">
        <f>Z56+1</f>
        <v>2</v>
      </c>
      <c r="AA74">
        <f>$AA$55-(Z74-1)*$X$51-W74</f>
        <v>27.827361667573342</v>
      </c>
      <c r="AB74">
        <f>AB56</f>
        <v>0.77145643900915783</v>
      </c>
    </row>
    <row r="75" spans="1:28" x14ac:dyDescent="0.3">
      <c r="G75" s="6">
        <f>(G74+G73)*G46</f>
        <v>0.94696448723089666</v>
      </c>
      <c r="L75">
        <f t="shared" si="9"/>
        <v>0</v>
      </c>
      <c r="M75">
        <v>1.9408133564199352</v>
      </c>
      <c r="S75">
        <f t="shared" si="18"/>
        <v>0</v>
      </c>
      <c r="T75">
        <f t="shared" si="12"/>
        <v>0</v>
      </c>
      <c r="W75">
        <f t="shared" ref="W75:W138" si="19">W57</f>
        <v>1.1429999999999998</v>
      </c>
      <c r="Z75">
        <f t="shared" ref="Z75:Z138" si="20">Z57+1</f>
        <v>2</v>
      </c>
      <c r="AA75">
        <f t="shared" ref="AA75" si="21">$AA$55-(Z75-1)*$X$51-W75</f>
        <v>26.684361667573341</v>
      </c>
      <c r="AB75">
        <f t="shared" ref="AB75:AB138" si="22">AB57</f>
        <v>0.77145643900915783</v>
      </c>
    </row>
    <row r="76" spans="1:28" x14ac:dyDescent="0.3">
      <c r="A76" t="s">
        <v>101</v>
      </c>
      <c r="B76" t="s">
        <v>100</v>
      </c>
      <c r="C76" t="s">
        <v>99</v>
      </c>
      <c r="L76">
        <f t="shared" si="9"/>
        <v>0</v>
      </c>
      <c r="M76">
        <v>1.9307494461033854</v>
      </c>
      <c r="S76">
        <f t="shared" si="18"/>
        <v>0</v>
      </c>
      <c r="T76">
        <f t="shared" si="12"/>
        <v>0</v>
      </c>
      <c r="W76">
        <f t="shared" si="19"/>
        <v>1.1429999999999998</v>
      </c>
      <c r="Z76">
        <f t="shared" si="20"/>
        <v>2</v>
      </c>
      <c r="AA76">
        <f t="shared" si="14"/>
        <v>26.684361667573341</v>
      </c>
      <c r="AB76">
        <f t="shared" si="22"/>
        <v>0.77068498257014872</v>
      </c>
    </row>
    <row r="77" spans="1:28" x14ac:dyDescent="0.3">
      <c r="A77">
        <v>0.76200000000000001</v>
      </c>
      <c r="B77">
        <f>G67</f>
        <v>1.1400918279693697</v>
      </c>
      <c r="C77" s="3">
        <v>1.5216562088883783</v>
      </c>
      <c r="G77" s="3"/>
      <c r="L77">
        <f t="shared" si="9"/>
        <v>0</v>
      </c>
      <c r="M77">
        <v>1.9173609555096989</v>
      </c>
      <c r="S77">
        <f t="shared" si="18"/>
        <v>0</v>
      </c>
      <c r="T77">
        <f t="shared" si="12"/>
        <v>0</v>
      </c>
      <c r="W77">
        <f t="shared" si="19"/>
        <v>1.1430009999999997</v>
      </c>
      <c r="Z77">
        <f t="shared" si="20"/>
        <v>2</v>
      </c>
      <c r="AA77">
        <f t="shared" si="14"/>
        <v>26.684360667573344</v>
      </c>
      <c r="AB77">
        <f t="shared" si="22"/>
        <v>0.77067300983892906</v>
      </c>
    </row>
    <row r="78" spans="1:28" x14ac:dyDescent="0.3">
      <c r="A78">
        <v>0.38100000000000001</v>
      </c>
      <c r="B78">
        <v>1.0134149581949954</v>
      </c>
      <c r="C78">
        <v>1.2097885985625885</v>
      </c>
      <c r="G78" s="3"/>
      <c r="L78">
        <f t="shared" si="9"/>
        <v>0</v>
      </c>
      <c r="M78">
        <v>1.8992754734996722</v>
      </c>
      <c r="S78">
        <f t="shared" si="18"/>
        <v>0</v>
      </c>
      <c r="T78">
        <f t="shared" si="12"/>
        <v>0</v>
      </c>
      <c r="W78">
        <f t="shared" si="19"/>
        <v>1.1435498904157428</v>
      </c>
      <c r="Z78">
        <f t="shared" si="20"/>
        <v>2</v>
      </c>
      <c r="AA78">
        <f t="shared" si="14"/>
        <v>26.683811777157601</v>
      </c>
      <c r="AB78">
        <f t="shared" si="22"/>
        <v>0.76448695437332481</v>
      </c>
    </row>
    <row r="79" spans="1:28" x14ac:dyDescent="0.3">
      <c r="A79">
        <v>0.141106652</v>
      </c>
      <c r="B79">
        <v>1.0134149581949954</v>
      </c>
      <c r="C79">
        <v>1.0098189476467287</v>
      </c>
      <c r="G79" s="3"/>
      <c r="L79">
        <f t="shared" si="9"/>
        <v>0</v>
      </c>
      <c r="M79">
        <v>1.8744268528089703</v>
      </c>
      <c r="S79">
        <f t="shared" si="18"/>
        <v>0</v>
      </c>
      <c r="T79">
        <f t="shared" si="12"/>
        <v>0</v>
      </c>
      <c r="W79">
        <f t="shared" si="19"/>
        <v>1.1455954702393722</v>
      </c>
      <c r="Z79">
        <f t="shared" si="20"/>
        <v>2</v>
      </c>
      <c r="AA79">
        <f t="shared" si="14"/>
        <v>26.681766197333971</v>
      </c>
      <c r="AB79">
        <f t="shared" si="22"/>
        <v>0.7462179928210797</v>
      </c>
    </row>
    <row r="80" spans="1:28" x14ac:dyDescent="0.3">
      <c r="A80" s="4">
        <f>(B79-0.8921956)/ 0.8335773</f>
        <v>0.14542065648260266</v>
      </c>
      <c r="B80">
        <v>1.0134149581949954</v>
      </c>
      <c r="C80">
        <v>1.0134348545569334</v>
      </c>
      <c r="G80" s="3"/>
      <c r="L80">
        <f t="shared" si="9"/>
        <v>0</v>
      </c>
      <c r="M80">
        <v>1.8396187908888644</v>
      </c>
      <c r="S80">
        <f t="shared" si="18"/>
        <v>0</v>
      </c>
      <c r="T80">
        <f t="shared" si="12"/>
        <v>0</v>
      </c>
      <c r="W80">
        <f t="shared" si="19"/>
        <v>1.1480120980280246</v>
      </c>
      <c r="Z80">
        <f t="shared" si="20"/>
        <v>2</v>
      </c>
      <c r="AA80">
        <f t="shared" si="14"/>
        <v>26.679349569545316</v>
      </c>
      <c r="AB80">
        <f t="shared" si="22"/>
        <v>0.73027266839631366</v>
      </c>
    </row>
    <row r="81" spans="7:28" x14ac:dyDescent="0.3">
      <c r="G81" s="3"/>
      <c r="L81">
        <f t="shared" si="9"/>
        <v>0</v>
      </c>
      <c r="M81">
        <v>1.7897262628448958</v>
      </c>
      <c r="S81">
        <f t="shared" si="18"/>
        <v>0</v>
      </c>
      <c r="T81">
        <f t="shared" si="12"/>
        <v>0</v>
      </c>
      <c r="W81">
        <f t="shared" si="19"/>
        <v>1.1521461796584274</v>
      </c>
      <c r="Z81">
        <f t="shared" si="20"/>
        <v>2</v>
      </c>
      <c r="AA81">
        <f t="shared" si="14"/>
        <v>26.675215487914915</v>
      </c>
      <c r="AB81">
        <f t="shared" si="22"/>
        <v>0.7101552774493437</v>
      </c>
    </row>
    <row r="82" spans="7:28" x14ac:dyDescent="0.3">
      <c r="L82">
        <f t="shared" si="9"/>
        <v>0</v>
      </c>
      <c r="M82">
        <v>1.716108465576204</v>
      </c>
      <c r="S82">
        <f t="shared" si="18"/>
        <v>0</v>
      </c>
      <c r="T82">
        <f t="shared" si="12"/>
        <v>0</v>
      </c>
      <c r="W82">
        <f t="shared" si="19"/>
        <v>1.157464405515152</v>
      </c>
      <c r="Z82">
        <f t="shared" si="20"/>
        <v>2</v>
      </c>
      <c r="AA82">
        <f t="shared" si="14"/>
        <v>26.669897262058189</v>
      </c>
      <c r="AB82">
        <f t="shared" si="22"/>
        <v>0.69122254011085482</v>
      </c>
    </row>
    <row r="83" spans="7:28" x14ac:dyDescent="0.3">
      <c r="L83">
        <f t="shared" si="9"/>
        <v>0</v>
      </c>
      <c r="M83">
        <v>1.6030381271958694</v>
      </c>
      <c r="S83">
        <f t="shared" si="18"/>
        <v>0</v>
      </c>
      <c r="T83">
        <f t="shared" si="12"/>
        <v>0</v>
      </c>
      <c r="W83">
        <f t="shared" si="19"/>
        <v>1.167916082410517</v>
      </c>
      <c r="Z83">
        <f t="shared" si="20"/>
        <v>2</v>
      </c>
      <c r="AA83">
        <f t="shared" si="14"/>
        <v>26.659445585162825</v>
      </c>
      <c r="AB83">
        <f t="shared" si="22"/>
        <v>0.66499411019811316</v>
      </c>
    </row>
    <row r="84" spans="7:28" x14ac:dyDescent="0.3">
      <c r="L84">
        <f t="shared" si="9"/>
        <v>0</v>
      </c>
      <c r="M84">
        <v>1.4178404107431801</v>
      </c>
      <c r="N84" s="2"/>
      <c r="S84">
        <f t="shared" si="18"/>
        <v>0</v>
      </c>
      <c r="T84">
        <f t="shared" si="12"/>
        <v>0</v>
      </c>
      <c r="W84">
        <f t="shared" si="19"/>
        <v>1.183100589395595</v>
      </c>
      <c r="Z84">
        <f t="shared" si="20"/>
        <v>2</v>
      </c>
      <c r="AA84">
        <f t="shared" si="14"/>
        <v>26.644261078177749</v>
      </c>
      <c r="AB84">
        <f t="shared" si="22"/>
        <v>0.63909697400592513</v>
      </c>
    </row>
    <row r="85" spans="7:28" x14ac:dyDescent="0.3">
      <c r="L85">
        <f t="shared" si="9"/>
        <v>0</v>
      </c>
      <c r="M85">
        <v>1.0813482856722585</v>
      </c>
      <c r="N85" s="2"/>
      <c r="S85">
        <f t="shared" si="18"/>
        <v>0</v>
      </c>
      <c r="T85">
        <f t="shared" si="12"/>
        <v>0</v>
      </c>
      <c r="W85">
        <f t="shared" si="19"/>
        <v>1.2109069376156516</v>
      </c>
      <c r="Z85">
        <f t="shared" si="20"/>
        <v>2</v>
      </c>
      <c r="AA85">
        <f t="shared" si="14"/>
        <v>26.616454729957692</v>
      </c>
      <c r="AB85">
        <f t="shared" si="22"/>
        <v>0.60781973946339873</v>
      </c>
    </row>
    <row r="86" spans="7:28" x14ac:dyDescent="0.3">
      <c r="L86">
        <f t="shared" si="9"/>
        <v>0</v>
      </c>
      <c r="M86">
        <v>0.74063390752855063</v>
      </c>
      <c r="N86" s="2"/>
      <c r="S86">
        <f t="shared" si="18"/>
        <v>0</v>
      </c>
      <c r="T86">
        <f t="shared" si="12"/>
        <v>0</v>
      </c>
      <c r="W86">
        <f t="shared" si="19"/>
        <v>1.2551481159424072</v>
      </c>
      <c r="Z86">
        <f t="shared" si="20"/>
        <v>2</v>
      </c>
      <c r="AA86">
        <f t="shared" si="14"/>
        <v>26.572213551630934</v>
      </c>
      <c r="AB86">
        <f t="shared" si="22"/>
        <v>0.57612627611480016</v>
      </c>
    </row>
    <row r="87" spans="7:28" x14ac:dyDescent="0.3">
      <c r="L87">
        <f t="shared" si="9"/>
        <v>0</v>
      </c>
      <c r="M87">
        <v>0.73272763032880817</v>
      </c>
      <c r="N87" s="2"/>
      <c r="S87">
        <f t="shared" si="18"/>
        <v>0</v>
      </c>
      <c r="T87">
        <f t="shared" si="12"/>
        <v>0</v>
      </c>
      <c r="W87">
        <f t="shared" si="19"/>
        <v>1.338434015864528</v>
      </c>
      <c r="Z87">
        <f t="shared" si="20"/>
        <v>2</v>
      </c>
      <c r="AA87">
        <f t="shared" si="14"/>
        <v>26.488927651708813</v>
      </c>
      <c r="AB87">
        <f t="shared" si="22"/>
        <v>0.53973940308666546</v>
      </c>
    </row>
    <row r="88" spans="7:28" x14ac:dyDescent="0.3">
      <c r="N88" s="2"/>
      <c r="S88">
        <f t="shared" si="18"/>
        <v>0</v>
      </c>
      <c r="T88">
        <f t="shared" si="12"/>
        <v>0</v>
      </c>
      <c r="W88">
        <f t="shared" si="19"/>
        <v>1.4752504388228256</v>
      </c>
      <c r="Z88">
        <f t="shared" si="20"/>
        <v>2</v>
      </c>
      <c r="AA88">
        <f t="shared" si="14"/>
        <v>26.352111228750516</v>
      </c>
      <c r="AB88">
        <f t="shared" si="22"/>
        <v>0.50459598065778399</v>
      </c>
    </row>
    <row r="89" spans="7:28" x14ac:dyDescent="0.3">
      <c r="N89" s="2"/>
      <c r="S89">
        <f t="shared" si="18"/>
        <v>0</v>
      </c>
      <c r="T89">
        <f t="shared" si="12"/>
        <v>0</v>
      </c>
      <c r="W89">
        <f t="shared" si="19"/>
        <v>1.7500498409303191</v>
      </c>
      <c r="Z89">
        <f t="shared" si="20"/>
        <v>2</v>
      </c>
      <c r="AA89">
        <f t="shared" si="14"/>
        <v>26.077311826643022</v>
      </c>
      <c r="AB89">
        <f t="shared" si="22"/>
        <v>0.4654409702187336</v>
      </c>
    </row>
    <row r="90" spans="7:28" x14ac:dyDescent="0.3">
      <c r="N90" s="2"/>
      <c r="S90">
        <f t="shared" si="18"/>
        <v>0</v>
      </c>
      <c r="T90">
        <f t="shared" si="12"/>
        <v>0</v>
      </c>
      <c r="W90">
        <f t="shared" si="19"/>
        <v>2.1966564988861639</v>
      </c>
      <c r="Z90">
        <f t="shared" si="20"/>
        <v>2</v>
      </c>
      <c r="AA90">
        <f t="shared" si="14"/>
        <v>25.630705168687179</v>
      </c>
      <c r="AB90">
        <f t="shared" si="22"/>
        <v>0.43134659976949657</v>
      </c>
    </row>
    <row r="91" spans="7:28" x14ac:dyDescent="0.3">
      <c r="N91" s="2"/>
      <c r="S91">
        <f t="shared" si="18"/>
        <v>0</v>
      </c>
      <c r="T91">
        <f t="shared" si="12"/>
        <v>0</v>
      </c>
      <c r="W91">
        <f t="shared" si="19"/>
        <v>2.2783011649994576</v>
      </c>
      <c r="Z91">
        <f t="shared" si="20"/>
        <v>2</v>
      </c>
      <c r="AA91">
        <f t="shared" si="14"/>
        <v>25.549060502573884</v>
      </c>
      <c r="AB91">
        <f t="shared" si="22"/>
        <v>0.42690955700104</v>
      </c>
    </row>
    <row r="92" spans="7:28" x14ac:dyDescent="0.3">
      <c r="N92" s="2"/>
      <c r="S92">
        <f t="shared" si="18"/>
        <v>0</v>
      </c>
      <c r="T92">
        <f t="shared" si="12"/>
        <v>0</v>
      </c>
      <c r="W92">
        <f t="shared" si="19"/>
        <v>0</v>
      </c>
      <c r="Z92">
        <f t="shared" si="20"/>
        <v>3</v>
      </c>
      <c r="AA92">
        <f t="shared" si="14"/>
        <v>25.549060502573887</v>
      </c>
      <c r="AB92">
        <f t="shared" si="22"/>
        <v>0.77145643900915783</v>
      </c>
    </row>
    <row r="93" spans="7:28" x14ac:dyDescent="0.3">
      <c r="N93" s="2"/>
      <c r="S93">
        <f t="shared" si="18"/>
        <v>0</v>
      </c>
      <c r="T93">
        <f t="shared" si="12"/>
        <v>0</v>
      </c>
      <c r="W93">
        <f t="shared" si="19"/>
        <v>1.1429999999999998</v>
      </c>
      <c r="Z93">
        <f t="shared" si="20"/>
        <v>3</v>
      </c>
      <c r="AA93">
        <f t="shared" si="14"/>
        <v>24.406060502573887</v>
      </c>
      <c r="AB93">
        <f t="shared" si="22"/>
        <v>0.77145643900915783</v>
      </c>
    </row>
    <row r="94" spans="7:28" x14ac:dyDescent="0.3">
      <c r="N94" s="2"/>
      <c r="S94">
        <f t="shared" si="18"/>
        <v>0</v>
      </c>
      <c r="T94">
        <f t="shared" si="12"/>
        <v>0</v>
      </c>
      <c r="W94">
        <f t="shared" si="19"/>
        <v>1.1429999999999998</v>
      </c>
      <c r="Z94">
        <f t="shared" si="20"/>
        <v>3</v>
      </c>
      <c r="AA94">
        <f t="shared" si="14"/>
        <v>24.406060502573887</v>
      </c>
      <c r="AB94">
        <f t="shared" si="22"/>
        <v>0.77068498257014872</v>
      </c>
    </row>
    <row r="95" spans="7:28" x14ac:dyDescent="0.3">
      <c r="N95" s="2"/>
      <c r="S95">
        <f t="shared" si="18"/>
        <v>0</v>
      </c>
      <c r="T95">
        <f t="shared" si="12"/>
        <v>0</v>
      </c>
      <c r="W95">
        <f t="shared" si="19"/>
        <v>1.1430009999999997</v>
      </c>
      <c r="Z95">
        <f t="shared" si="20"/>
        <v>3</v>
      </c>
      <c r="AA95">
        <f t="shared" si="14"/>
        <v>24.406059502573889</v>
      </c>
      <c r="AB95">
        <f t="shared" si="22"/>
        <v>0.77067300983892906</v>
      </c>
    </row>
    <row r="96" spans="7:28" x14ac:dyDescent="0.3">
      <c r="N96" s="2"/>
      <c r="S96">
        <f t="shared" si="18"/>
        <v>0</v>
      </c>
      <c r="T96">
        <f t="shared" si="12"/>
        <v>0</v>
      </c>
      <c r="W96">
        <f t="shared" si="19"/>
        <v>1.1435498904157428</v>
      </c>
      <c r="Z96">
        <f t="shared" si="20"/>
        <v>3</v>
      </c>
      <c r="AA96">
        <f t="shared" si="14"/>
        <v>24.405510612158146</v>
      </c>
      <c r="AB96">
        <f t="shared" si="22"/>
        <v>0.76448695437332481</v>
      </c>
    </row>
    <row r="97" spans="14:28" x14ac:dyDescent="0.3">
      <c r="N97" s="2"/>
      <c r="S97">
        <f t="shared" si="18"/>
        <v>0</v>
      </c>
      <c r="T97">
        <f t="shared" si="12"/>
        <v>0</v>
      </c>
      <c r="W97">
        <f t="shared" si="19"/>
        <v>1.1455954702393722</v>
      </c>
      <c r="Z97">
        <f t="shared" si="20"/>
        <v>3</v>
      </c>
      <c r="AA97">
        <f t="shared" si="14"/>
        <v>24.403465032334516</v>
      </c>
      <c r="AB97">
        <f t="shared" si="22"/>
        <v>0.7462179928210797</v>
      </c>
    </row>
    <row r="98" spans="14:28" x14ac:dyDescent="0.3">
      <c r="N98" s="2"/>
      <c r="S98">
        <f t="shared" si="18"/>
        <v>0</v>
      </c>
      <c r="T98">
        <f t="shared" si="12"/>
        <v>0</v>
      </c>
      <c r="W98">
        <f t="shared" si="19"/>
        <v>1.1480120980280246</v>
      </c>
      <c r="Z98">
        <f t="shared" si="20"/>
        <v>3</v>
      </c>
      <c r="AA98">
        <f t="shared" si="14"/>
        <v>24.401048404545861</v>
      </c>
      <c r="AB98">
        <f t="shared" si="22"/>
        <v>0.73027266839631366</v>
      </c>
    </row>
    <row r="99" spans="14:28" x14ac:dyDescent="0.3">
      <c r="N99" s="2"/>
      <c r="S99">
        <f t="shared" si="18"/>
        <v>0</v>
      </c>
      <c r="T99">
        <f t="shared" si="12"/>
        <v>0</v>
      </c>
      <c r="W99">
        <f t="shared" si="19"/>
        <v>1.1521461796584274</v>
      </c>
      <c r="Z99">
        <f t="shared" si="20"/>
        <v>3</v>
      </c>
      <c r="AA99">
        <f t="shared" si="14"/>
        <v>24.39691432291546</v>
      </c>
      <c r="AB99">
        <f t="shared" si="22"/>
        <v>0.7101552774493437</v>
      </c>
    </row>
    <row r="100" spans="14:28" x14ac:dyDescent="0.3">
      <c r="N100" s="2"/>
      <c r="S100">
        <f t="shared" si="18"/>
        <v>0</v>
      </c>
      <c r="T100">
        <f t="shared" si="12"/>
        <v>0</v>
      </c>
      <c r="W100">
        <f t="shared" si="19"/>
        <v>1.157464405515152</v>
      </c>
      <c r="Z100">
        <f t="shared" si="20"/>
        <v>3</v>
      </c>
      <c r="AA100">
        <f t="shared" si="14"/>
        <v>24.391596097058734</v>
      </c>
      <c r="AB100">
        <f t="shared" si="22"/>
        <v>0.69122254011085482</v>
      </c>
    </row>
    <row r="101" spans="14:28" x14ac:dyDescent="0.3">
      <c r="N101" s="2"/>
      <c r="S101">
        <f t="shared" si="18"/>
        <v>0</v>
      </c>
      <c r="T101">
        <f t="shared" si="12"/>
        <v>0</v>
      </c>
      <c r="W101">
        <f t="shared" si="19"/>
        <v>1.167916082410517</v>
      </c>
      <c r="Z101">
        <f t="shared" si="20"/>
        <v>3</v>
      </c>
      <c r="AA101">
        <f t="shared" si="14"/>
        <v>24.38114442016337</v>
      </c>
      <c r="AB101">
        <f t="shared" si="22"/>
        <v>0.66499411019811316</v>
      </c>
    </row>
    <row r="102" spans="14:28" x14ac:dyDescent="0.3">
      <c r="N102" s="2"/>
      <c r="S102">
        <f t="shared" si="18"/>
        <v>0</v>
      </c>
      <c r="T102">
        <f t="shared" si="12"/>
        <v>0</v>
      </c>
      <c r="W102">
        <f t="shared" si="19"/>
        <v>1.183100589395595</v>
      </c>
      <c r="Z102">
        <f t="shared" si="20"/>
        <v>3</v>
      </c>
      <c r="AA102">
        <f t="shared" si="14"/>
        <v>24.365959913178294</v>
      </c>
      <c r="AB102">
        <f t="shared" si="22"/>
        <v>0.63909697400592513</v>
      </c>
    </row>
    <row r="103" spans="14:28" x14ac:dyDescent="0.3">
      <c r="N103" s="2"/>
      <c r="S103">
        <f t="shared" si="18"/>
        <v>0</v>
      </c>
      <c r="T103">
        <f t="shared" si="12"/>
        <v>0</v>
      </c>
      <c r="W103">
        <f t="shared" si="19"/>
        <v>1.2109069376156516</v>
      </c>
      <c r="Z103">
        <f t="shared" si="20"/>
        <v>3</v>
      </c>
      <c r="AA103">
        <f t="shared" si="14"/>
        <v>24.338153564958237</v>
      </c>
      <c r="AB103">
        <f t="shared" si="22"/>
        <v>0.60781973946339873</v>
      </c>
    </row>
    <row r="104" spans="14:28" x14ac:dyDescent="0.3">
      <c r="N104" s="2"/>
      <c r="S104">
        <f t="shared" si="18"/>
        <v>0</v>
      </c>
      <c r="T104">
        <f t="shared" si="12"/>
        <v>0</v>
      </c>
      <c r="W104">
        <f t="shared" si="19"/>
        <v>1.2551481159424072</v>
      </c>
      <c r="Z104">
        <f t="shared" si="20"/>
        <v>3</v>
      </c>
      <c r="AA104">
        <f t="shared" si="14"/>
        <v>24.293912386631479</v>
      </c>
      <c r="AB104">
        <f t="shared" si="22"/>
        <v>0.57612627611480016</v>
      </c>
    </row>
    <row r="105" spans="14:28" x14ac:dyDescent="0.3">
      <c r="N105" s="2"/>
      <c r="S105">
        <f t="shared" si="18"/>
        <v>0</v>
      </c>
      <c r="T105">
        <f t="shared" si="12"/>
        <v>0</v>
      </c>
      <c r="W105">
        <f t="shared" si="19"/>
        <v>1.338434015864528</v>
      </c>
      <c r="Z105">
        <f t="shared" si="20"/>
        <v>3</v>
      </c>
      <c r="AA105">
        <f t="shared" si="14"/>
        <v>24.210626486709359</v>
      </c>
      <c r="AB105">
        <f t="shared" si="22"/>
        <v>0.53973940308666546</v>
      </c>
    </row>
    <row r="106" spans="14:28" x14ac:dyDescent="0.3">
      <c r="N106" s="2"/>
      <c r="W106">
        <f t="shared" si="19"/>
        <v>1.4752504388228256</v>
      </c>
      <c r="Z106">
        <f t="shared" si="20"/>
        <v>3</v>
      </c>
      <c r="AA106">
        <f t="shared" si="14"/>
        <v>24.073810063751061</v>
      </c>
      <c r="AB106">
        <f t="shared" si="22"/>
        <v>0.50459598065778399</v>
      </c>
    </row>
    <row r="107" spans="14:28" x14ac:dyDescent="0.3">
      <c r="N107" s="2"/>
      <c r="W107">
        <f t="shared" si="19"/>
        <v>1.7500498409303191</v>
      </c>
      <c r="Z107">
        <f t="shared" si="20"/>
        <v>3</v>
      </c>
      <c r="AA107">
        <f t="shared" si="14"/>
        <v>23.799010661643567</v>
      </c>
      <c r="AB107">
        <f t="shared" si="22"/>
        <v>0.4654409702187336</v>
      </c>
    </row>
    <row r="108" spans="14:28" x14ac:dyDescent="0.3">
      <c r="N108" s="2"/>
      <c r="W108">
        <f t="shared" si="19"/>
        <v>2.1966564988861639</v>
      </c>
      <c r="Z108">
        <f t="shared" si="20"/>
        <v>3</v>
      </c>
      <c r="AA108">
        <f t="shared" si="14"/>
        <v>23.352404003687724</v>
      </c>
      <c r="AB108">
        <f t="shared" si="22"/>
        <v>0.43134659976949657</v>
      </c>
    </row>
    <row r="109" spans="14:28" x14ac:dyDescent="0.3">
      <c r="N109" s="2"/>
      <c r="W109">
        <f t="shared" si="19"/>
        <v>2.2783011649994576</v>
      </c>
      <c r="Z109">
        <f t="shared" si="20"/>
        <v>3</v>
      </c>
      <c r="AA109">
        <f t="shared" si="14"/>
        <v>23.270759337574429</v>
      </c>
      <c r="AB109">
        <f t="shared" si="22"/>
        <v>0.42690955700104</v>
      </c>
    </row>
    <row r="110" spans="14:28" x14ac:dyDescent="0.3">
      <c r="N110" s="2"/>
      <c r="W110">
        <f t="shared" si="19"/>
        <v>0</v>
      </c>
      <c r="Z110">
        <f t="shared" si="20"/>
        <v>4</v>
      </c>
      <c r="AA110">
        <f t="shared" si="14"/>
        <v>23.270759337574429</v>
      </c>
      <c r="AB110">
        <f t="shared" si="22"/>
        <v>0.77145643900915783</v>
      </c>
    </row>
    <row r="111" spans="14:28" x14ac:dyDescent="0.3">
      <c r="N111" s="2"/>
      <c r="W111">
        <f t="shared" si="19"/>
        <v>1.1429999999999998</v>
      </c>
      <c r="Z111">
        <f t="shared" si="20"/>
        <v>4</v>
      </c>
      <c r="AA111">
        <f t="shared" si="14"/>
        <v>22.127759337574428</v>
      </c>
      <c r="AB111">
        <f t="shared" si="22"/>
        <v>0.77145643900915783</v>
      </c>
    </row>
    <row r="112" spans="14:28" x14ac:dyDescent="0.3">
      <c r="N112" s="2"/>
      <c r="W112">
        <f t="shared" si="19"/>
        <v>1.1429999999999998</v>
      </c>
      <c r="Z112">
        <f t="shared" si="20"/>
        <v>4</v>
      </c>
      <c r="AA112">
        <f t="shared" si="14"/>
        <v>22.127759337574428</v>
      </c>
      <c r="AB112">
        <f t="shared" si="22"/>
        <v>0.77068498257014872</v>
      </c>
    </row>
    <row r="113" spans="14:28" x14ac:dyDescent="0.3">
      <c r="N113" s="2"/>
      <c r="W113">
        <f t="shared" si="19"/>
        <v>1.1430009999999997</v>
      </c>
      <c r="Z113">
        <f t="shared" si="20"/>
        <v>4</v>
      </c>
      <c r="AA113">
        <f t="shared" si="14"/>
        <v>22.127758337574431</v>
      </c>
      <c r="AB113">
        <f t="shared" si="22"/>
        <v>0.77067300983892906</v>
      </c>
    </row>
    <row r="114" spans="14:28" x14ac:dyDescent="0.3">
      <c r="N114" s="2"/>
      <c r="W114">
        <f t="shared" si="19"/>
        <v>1.1435498904157428</v>
      </c>
      <c r="Z114">
        <f t="shared" si="20"/>
        <v>4</v>
      </c>
      <c r="AA114">
        <f t="shared" si="14"/>
        <v>22.127209447158688</v>
      </c>
      <c r="AB114">
        <f t="shared" si="22"/>
        <v>0.76448695437332481</v>
      </c>
    </row>
    <row r="115" spans="14:28" x14ac:dyDescent="0.3">
      <c r="N115" s="2"/>
      <c r="W115">
        <f t="shared" si="19"/>
        <v>1.1455954702393722</v>
      </c>
      <c r="Z115">
        <f t="shared" si="20"/>
        <v>4</v>
      </c>
      <c r="AA115">
        <f t="shared" si="14"/>
        <v>22.125163867335058</v>
      </c>
      <c r="AB115">
        <f t="shared" si="22"/>
        <v>0.7462179928210797</v>
      </c>
    </row>
    <row r="116" spans="14:28" x14ac:dyDescent="0.3">
      <c r="N116" s="2"/>
      <c r="W116">
        <f t="shared" si="19"/>
        <v>1.1480120980280246</v>
      </c>
      <c r="Z116">
        <f t="shared" si="20"/>
        <v>4</v>
      </c>
      <c r="AA116">
        <f t="shared" si="14"/>
        <v>22.122747239546403</v>
      </c>
      <c r="AB116">
        <f t="shared" si="22"/>
        <v>0.73027266839631366</v>
      </c>
    </row>
    <row r="117" spans="14:28" x14ac:dyDescent="0.3">
      <c r="N117" s="2"/>
      <c r="W117">
        <f t="shared" si="19"/>
        <v>1.1521461796584274</v>
      </c>
      <c r="Z117">
        <f t="shared" si="20"/>
        <v>4</v>
      </c>
      <c r="AA117">
        <f t="shared" si="14"/>
        <v>22.118613157916002</v>
      </c>
      <c r="AB117">
        <f t="shared" si="22"/>
        <v>0.7101552774493437</v>
      </c>
    </row>
    <row r="118" spans="14:28" x14ac:dyDescent="0.3">
      <c r="N118" s="2"/>
      <c r="W118">
        <f t="shared" si="19"/>
        <v>1.157464405515152</v>
      </c>
      <c r="Z118">
        <f t="shared" si="20"/>
        <v>4</v>
      </c>
      <c r="AA118">
        <f t="shared" si="14"/>
        <v>22.113294932059276</v>
      </c>
      <c r="AB118">
        <f t="shared" si="22"/>
        <v>0.69122254011085482</v>
      </c>
    </row>
    <row r="119" spans="14:28" x14ac:dyDescent="0.3">
      <c r="N119" s="2"/>
      <c r="W119">
        <f t="shared" si="19"/>
        <v>1.167916082410517</v>
      </c>
      <c r="Z119">
        <f t="shared" si="20"/>
        <v>4</v>
      </c>
      <c r="AA119">
        <f t="shared" si="14"/>
        <v>22.102843255163911</v>
      </c>
      <c r="AB119">
        <f t="shared" si="22"/>
        <v>0.66499411019811316</v>
      </c>
    </row>
    <row r="120" spans="14:28" x14ac:dyDescent="0.3">
      <c r="N120" s="2"/>
      <c r="W120">
        <f t="shared" si="19"/>
        <v>1.183100589395595</v>
      </c>
      <c r="Z120">
        <f t="shared" si="20"/>
        <v>4</v>
      </c>
      <c r="AA120">
        <f t="shared" si="14"/>
        <v>22.087658748178832</v>
      </c>
      <c r="AB120">
        <f t="shared" si="22"/>
        <v>0.63909697400592513</v>
      </c>
    </row>
    <row r="121" spans="14:28" x14ac:dyDescent="0.3">
      <c r="N121" s="2"/>
      <c r="W121">
        <f t="shared" si="19"/>
        <v>1.2109069376156516</v>
      </c>
      <c r="Z121">
        <f t="shared" si="20"/>
        <v>4</v>
      </c>
      <c r="AA121">
        <f t="shared" ref="AA121:AA184" si="23">$AA$55-(Z121-1)*$X$51-W121</f>
        <v>22.059852399958778</v>
      </c>
      <c r="AB121">
        <f t="shared" si="22"/>
        <v>0.60781973946339873</v>
      </c>
    </row>
    <row r="122" spans="14:28" x14ac:dyDescent="0.3">
      <c r="N122" s="2"/>
      <c r="W122">
        <f t="shared" si="19"/>
        <v>1.2551481159424072</v>
      </c>
      <c r="Z122">
        <f t="shared" si="20"/>
        <v>4</v>
      </c>
      <c r="AA122">
        <f t="shared" si="23"/>
        <v>22.015611221632021</v>
      </c>
      <c r="AB122">
        <f t="shared" si="22"/>
        <v>0.57612627611480016</v>
      </c>
    </row>
    <row r="123" spans="14:28" x14ac:dyDescent="0.3">
      <c r="N123" s="2"/>
      <c r="W123">
        <f t="shared" si="19"/>
        <v>1.338434015864528</v>
      </c>
      <c r="Z123">
        <f t="shared" si="20"/>
        <v>4</v>
      </c>
      <c r="AA123">
        <f t="shared" si="23"/>
        <v>21.9323253217099</v>
      </c>
      <c r="AB123">
        <f t="shared" si="22"/>
        <v>0.53973940308666546</v>
      </c>
    </row>
    <row r="124" spans="14:28" x14ac:dyDescent="0.3">
      <c r="N124" s="2"/>
      <c r="W124">
        <f t="shared" si="19"/>
        <v>1.4752504388228256</v>
      </c>
      <c r="Z124">
        <f t="shared" si="20"/>
        <v>4</v>
      </c>
      <c r="AA124">
        <f t="shared" si="23"/>
        <v>21.795508898751603</v>
      </c>
      <c r="AB124">
        <f t="shared" si="22"/>
        <v>0.50459598065778399</v>
      </c>
    </row>
    <row r="125" spans="14:28" x14ac:dyDescent="0.3">
      <c r="N125" s="2"/>
      <c r="W125">
        <f t="shared" si="19"/>
        <v>1.7500498409303191</v>
      </c>
      <c r="Z125">
        <f t="shared" si="20"/>
        <v>4</v>
      </c>
      <c r="AA125">
        <f t="shared" si="23"/>
        <v>21.520709496644109</v>
      </c>
      <c r="AB125">
        <f t="shared" si="22"/>
        <v>0.4654409702187336</v>
      </c>
    </row>
    <row r="126" spans="14:28" x14ac:dyDescent="0.3">
      <c r="N126" s="2"/>
      <c r="W126">
        <f t="shared" si="19"/>
        <v>2.1966564988861639</v>
      </c>
      <c r="Z126">
        <f t="shared" si="20"/>
        <v>4</v>
      </c>
      <c r="AA126">
        <f t="shared" si="23"/>
        <v>21.074102838688265</v>
      </c>
      <c r="AB126">
        <f t="shared" si="22"/>
        <v>0.43134659976949657</v>
      </c>
    </row>
    <row r="127" spans="14:28" x14ac:dyDescent="0.3">
      <c r="N127" s="2"/>
      <c r="W127">
        <f t="shared" si="19"/>
        <v>2.2783011649994576</v>
      </c>
      <c r="Z127">
        <f t="shared" si="20"/>
        <v>4</v>
      </c>
      <c r="AA127">
        <f t="shared" si="23"/>
        <v>20.99245817257497</v>
      </c>
      <c r="AB127">
        <f t="shared" si="22"/>
        <v>0.42690955700104</v>
      </c>
    </row>
    <row r="128" spans="14:28" x14ac:dyDescent="0.3">
      <c r="N128" s="2"/>
      <c r="W128">
        <f t="shared" si="19"/>
        <v>0</v>
      </c>
      <c r="Z128">
        <f t="shared" si="20"/>
        <v>5</v>
      </c>
      <c r="AA128">
        <f t="shared" si="23"/>
        <v>20.99245817257497</v>
      </c>
      <c r="AB128">
        <f t="shared" si="22"/>
        <v>0.77145643900915783</v>
      </c>
    </row>
    <row r="129" spans="14:30" x14ac:dyDescent="0.3">
      <c r="N129" s="2"/>
      <c r="W129">
        <f t="shared" si="19"/>
        <v>1.1429999999999998</v>
      </c>
      <c r="Z129">
        <f t="shared" si="20"/>
        <v>5</v>
      </c>
      <c r="AA129">
        <f t="shared" si="23"/>
        <v>19.84945817257497</v>
      </c>
      <c r="AB129">
        <f t="shared" si="22"/>
        <v>0.77145643900915783</v>
      </c>
    </row>
    <row r="130" spans="14:30" x14ac:dyDescent="0.3">
      <c r="N130" s="2"/>
      <c r="W130">
        <f t="shared" si="19"/>
        <v>1.1429999999999998</v>
      </c>
      <c r="Z130">
        <f t="shared" si="20"/>
        <v>5</v>
      </c>
      <c r="AA130">
        <f t="shared" si="23"/>
        <v>19.84945817257497</v>
      </c>
      <c r="AB130">
        <f t="shared" si="22"/>
        <v>0.77068498257014872</v>
      </c>
    </row>
    <row r="131" spans="14:30" x14ac:dyDescent="0.3">
      <c r="N131" s="2"/>
      <c r="W131">
        <f t="shared" si="19"/>
        <v>1.1430009999999997</v>
      </c>
      <c r="Z131">
        <f t="shared" si="20"/>
        <v>5</v>
      </c>
      <c r="AA131">
        <f t="shared" si="23"/>
        <v>19.849457172574972</v>
      </c>
      <c r="AB131">
        <f t="shared" si="22"/>
        <v>0.77067300983892906</v>
      </c>
    </row>
    <row r="132" spans="14:30" x14ac:dyDescent="0.3">
      <c r="N132" s="2"/>
      <c r="W132">
        <f t="shared" si="19"/>
        <v>1.1435498904157428</v>
      </c>
      <c r="Z132">
        <f t="shared" si="20"/>
        <v>5</v>
      </c>
      <c r="AA132">
        <f t="shared" si="23"/>
        <v>19.848908282159229</v>
      </c>
      <c r="AB132">
        <f t="shared" si="22"/>
        <v>0.76448695437332481</v>
      </c>
    </row>
    <row r="133" spans="14:30" x14ac:dyDescent="0.3">
      <c r="N133" s="2"/>
      <c r="W133">
        <f t="shared" si="19"/>
        <v>1.1455954702393722</v>
      </c>
      <c r="Z133">
        <f t="shared" si="20"/>
        <v>5</v>
      </c>
      <c r="AA133">
        <f t="shared" si="23"/>
        <v>19.846862702335599</v>
      </c>
      <c r="AB133">
        <f t="shared" si="22"/>
        <v>0.7462179928210797</v>
      </c>
    </row>
    <row r="134" spans="14:30" x14ac:dyDescent="0.3">
      <c r="N134" s="2"/>
      <c r="W134">
        <f t="shared" si="19"/>
        <v>1.1480120980280246</v>
      </c>
      <c r="Z134">
        <f t="shared" si="20"/>
        <v>5</v>
      </c>
      <c r="AA134">
        <f t="shared" si="23"/>
        <v>19.844446074546944</v>
      </c>
      <c r="AB134">
        <f t="shared" si="22"/>
        <v>0.73027266839631366</v>
      </c>
    </row>
    <row r="135" spans="14:30" x14ac:dyDescent="0.3">
      <c r="N135" s="2"/>
      <c r="W135">
        <f t="shared" si="19"/>
        <v>1.1521461796584274</v>
      </c>
      <c r="Z135">
        <f t="shared" si="20"/>
        <v>5</v>
      </c>
      <c r="AA135">
        <f t="shared" si="23"/>
        <v>19.840311992916543</v>
      </c>
      <c r="AB135">
        <f t="shared" si="22"/>
        <v>0.7101552774493437</v>
      </c>
    </row>
    <row r="136" spans="14:30" x14ac:dyDescent="0.3">
      <c r="N136" s="2"/>
      <c r="W136">
        <f t="shared" si="19"/>
        <v>1.157464405515152</v>
      </c>
      <c r="Z136">
        <f t="shared" si="20"/>
        <v>5</v>
      </c>
      <c r="AA136">
        <f t="shared" si="23"/>
        <v>19.834993767059817</v>
      </c>
      <c r="AB136">
        <f t="shared" si="22"/>
        <v>0.69122254011085482</v>
      </c>
    </row>
    <row r="137" spans="14:30" x14ac:dyDescent="0.3">
      <c r="N137" s="2"/>
      <c r="W137">
        <f t="shared" si="19"/>
        <v>1.167916082410517</v>
      </c>
      <c r="Z137">
        <f t="shared" si="20"/>
        <v>5</v>
      </c>
      <c r="AA137">
        <f t="shared" si="23"/>
        <v>19.824542090164453</v>
      </c>
      <c r="AB137">
        <f t="shared" si="22"/>
        <v>0.66499411019811316</v>
      </c>
    </row>
    <row r="138" spans="14:30" x14ac:dyDescent="0.3">
      <c r="N138" s="2"/>
      <c r="W138">
        <f t="shared" si="19"/>
        <v>1.183100589395595</v>
      </c>
      <c r="Z138">
        <f t="shared" si="20"/>
        <v>5</v>
      </c>
      <c r="AA138">
        <f t="shared" si="23"/>
        <v>19.809357583179377</v>
      </c>
      <c r="AB138">
        <f t="shared" si="22"/>
        <v>0.63909697400592513</v>
      </c>
      <c r="AC138" s="4"/>
      <c r="AD138" s="4"/>
    </row>
    <row r="139" spans="14:30" x14ac:dyDescent="0.3">
      <c r="N139" s="2"/>
      <c r="W139">
        <f t="shared" ref="W139:W202" si="24">W121</f>
        <v>1.2109069376156516</v>
      </c>
      <c r="Z139">
        <f t="shared" ref="Z139:Z202" si="25">Z121+1</f>
        <v>5</v>
      </c>
      <c r="AA139">
        <f t="shared" si="23"/>
        <v>19.78155123495932</v>
      </c>
      <c r="AB139">
        <f t="shared" ref="AB139:AB202" si="26">AB121</f>
        <v>0.60781973946339873</v>
      </c>
      <c r="AC139" s="4"/>
      <c r="AD139" s="4"/>
    </row>
    <row r="140" spans="14:30" x14ac:dyDescent="0.3">
      <c r="N140" s="2"/>
      <c r="W140">
        <f t="shared" si="24"/>
        <v>1.2551481159424072</v>
      </c>
      <c r="Z140">
        <f t="shared" si="25"/>
        <v>5</v>
      </c>
      <c r="AA140">
        <f t="shared" si="23"/>
        <v>19.737310056632563</v>
      </c>
      <c r="AB140">
        <f t="shared" si="26"/>
        <v>0.57612627611480016</v>
      </c>
    </row>
    <row r="141" spans="14:30" x14ac:dyDescent="0.3">
      <c r="N141" s="2"/>
      <c r="W141">
        <f t="shared" si="24"/>
        <v>1.338434015864528</v>
      </c>
      <c r="Z141">
        <f t="shared" si="25"/>
        <v>5</v>
      </c>
      <c r="AA141">
        <f t="shared" si="23"/>
        <v>19.654024156710442</v>
      </c>
      <c r="AB141">
        <f t="shared" si="26"/>
        <v>0.53973940308666546</v>
      </c>
    </row>
    <row r="142" spans="14:30" x14ac:dyDescent="0.3">
      <c r="N142" s="2"/>
      <c r="W142">
        <f t="shared" si="24"/>
        <v>1.4752504388228256</v>
      </c>
      <c r="Z142">
        <f t="shared" si="25"/>
        <v>5</v>
      </c>
      <c r="AA142">
        <f t="shared" si="23"/>
        <v>19.517207733752144</v>
      </c>
      <c r="AB142">
        <f t="shared" si="26"/>
        <v>0.50459598065778399</v>
      </c>
    </row>
    <row r="143" spans="14:30" x14ac:dyDescent="0.3">
      <c r="N143" s="2"/>
      <c r="W143">
        <f t="shared" si="24"/>
        <v>1.7500498409303191</v>
      </c>
      <c r="Z143">
        <f t="shared" si="25"/>
        <v>5</v>
      </c>
      <c r="AA143">
        <f t="shared" si="23"/>
        <v>19.242408331644651</v>
      </c>
      <c r="AB143">
        <f t="shared" si="26"/>
        <v>0.4654409702187336</v>
      </c>
    </row>
    <row r="144" spans="14:30" x14ac:dyDescent="0.3">
      <c r="N144" s="2"/>
      <c r="W144">
        <f t="shared" si="24"/>
        <v>2.1966564988861639</v>
      </c>
      <c r="Z144">
        <f t="shared" si="25"/>
        <v>5</v>
      </c>
      <c r="AA144">
        <f t="shared" si="23"/>
        <v>18.795801673688807</v>
      </c>
      <c r="AB144">
        <f t="shared" si="26"/>
        <v>0.43134659976949657</v>
      </c>
    </row>
    <row r="145" spans="14:30" x14ac:dyDescent="0.3">
      <c r="N145" s="2"/>
      <c r="W145">
        <f t="shared" si="24"/>
        <v>2.2783011649994576</v>
      </c>
      <c r="Z145">
        <f t="shared" si="25"/>
        <v>5</v>
      </c>
      <c r="AA145">
        <f t="shared" si="23"/>
        <v>18.714157007575512</v>
      </c>
      <c r="AB145">
        <f t="shared" si="26"/>
        <v>0.42690955700104</v>
      </c>
    </row>
    <row r="146" spans="14:30" x14ac:dyDescent="0.3">
      <c r="N146" s="2"/>
      <c r="W146">
        <f t="shared" si="24"/>
        <v>0</v>
      </c>
      <c r="Z146">
        <f t="shared" si="25"/>
        <v>6</v>
      </c>
      <c r="AA146">
        <f t="shared" si="23"/>
        <v>18.714157007575512</v>
      </c>
      <c r="AB146">
        <f t="shared" si="26"/>
        <v>0.77145643900915783</v>
      </c>
    </row>
    <row r="147" spans="14:30" x14ac:dyDescent="0.3">
      <c r="N147" s="2"/>
      <c r="W147">
        <f t="shared" si="24"/>
        <v>1.1429999999999998</v>
      </c>
      <c r="Z147">
        <f t="shared" si="25"/>
        <v>6</v>
      </c>
      <c r="AA147">
        <f t="shared" si="23"/>
        <v>17.571157007575511</v>
      </c>
      <c r="AB147">
        <f t="shared" si="26"/>
        <v>0.77145643900915783</v>
      </c>
    </row>
    <row r="148" spans="14:30" x14ac:dyDescent="0.3">
      <c r="N148" s="2"/>
      <c r="W148">
        <f t="shared" si="24"/>
        <v>1.1429999999999998</v>
      </c>
      <c r="Z148">
        <f t="shared" si="25"/>
        <v>6</v>
      </c>
      <c r="AA148">
        <f t="shared" si="23"/>
        <v>17.571157007575511</v>
      </c>
      <c r="AB148">
        <f t="shared" si="26"/>
        <v>0.77068498257014872</v>
      </c>
    </row>
    <row r="149" spans="14:30" x14ac:dyDescent="0.3">
      <c r="N149" s="2"/>
      <c r="W149">
        <f t="shared" si="24"/>
        <v>1.1430009999999997</v>
      </c>
      <c r="Z149">
        <f t="shared" si="25"/>
        <v>6</v>
      </c>
      <c r="AA149">
        <f t="shared" si="23"/>
        <v>17.571156007575514</v>
      </c>
      <c r="AB149">
        <f t="shared" si="26"/>
        <v>0.77067300983892906</v>
      </c>
    </row>
    <row r="150" spans="14:30" x14ac:dyDescent="0.3">
      <c r="N150" s="2"/>
      <c r="W150">
        <f t="shared" si="24"/>
        <v>1.1435498904157428</v>
      </c>
      <c r="Z150">
        <f t="shared" si="25"/>
        <v>6</v>
      </c>
      <c r="AA150">
        <f t="shared" si="23"/>
        <v>17.570607117159771</v>
      </c>
      <c r="AB150">
        <f t="shared" si="26"/>
        <v>0.76448695437332481</v>
      </c>
    </row>
    <row r="151" spans="14:30" x14ac:dyDescent="0.3">
      <c r="N151" s="2"/>
      <c r="W151">
        <f t="shared" si="24"/>
        <v>1.1455954702393722</v>
      </c>
      <c r="Z151">
        <f t="shared" si="25"/>
        <v>6</v>
      </c>
      <c r="AA151">
        <f t="shared" si="23"/>
        <v>17.568561537336141</v>
      </c>
      <c r="AB151">
        <f t="shared" si="26"/>
        <v>0.7462179928210797</v>
      </c>
    </row>
    <row r="152" spans="14:30" x14ac:dyDescent="0.3">
      <c r="N152" s="2"/>
      <c r="W152">
        <f t="shared" si="24"/>
        <v>1.1480120980280246</v>
      </c>
      <c r="Z152">
        <f t="shared" si="25"/>
        <v>6</v>
      </c>
      <c r="AA152">
        <f t="shared" si="23"/>
        <v>17.566144909547486</v>
      </c>
      <c r="AB152">
        <f t="shared" si="26"/>
        <v>0.73027266839631366</v>
      </c>
    </row>
    <row r="153" spans="14:30" x14ac:dyDescent="0.3">
      <c r="N153" s="2"/>
      <c r="W153">
        <f t="shared" si="24"/>
        <v>1.1521461796584274</v>
      </c>
      <c r="Z153">
        <f t="shared" si="25"/>
        <v>6</v>
      </c>
      <c r="AA153">
        <f t="shared" si="23"/>
        <v>17.562010827917085</v>
      </c>
      <c r="AB153">
        <f t="shared" si="26"/>
        <v>0.7101552774493437</v>
      </c>
    </row>
    <row r="154" spans="14:30" x14ac:dyDescent="0.3">
      <c r="N154" s="2"/>
      <c r="W154">
        <f t="shared" si="24"/>
        <v>1.157464405515152</v>
      </c>
      <c r="Z154">
        <f t="shared" si="25"/>
        <v>6</v>
      </c>
      <c r="AA154">
        <f t="shared" si="23"/>
        <v>17.556692602060359</v>
      </c>
      <c r="AB154">
        <f t="shared" si="26"/>
        <v>0.69122254011085482</v>
      </c>
    </row>
    <row r="155" spans="14:30" x14ac:dyDescent="0.3">
      <c r="N155" s="2"/>
      <c r="W155">
        <f t="shared" si="24"/>
        <v>1.167916082410517</v>
      </c>
      <c r="Z155">
        <f t="shared" si="25"/>
        <v>6</v>
      </c>
      <c r="AA155">
        <f t="shared" si="23"/>
        <v>17.546240925164994</v>
      </c>
      <c r="AB155">
        <f t="shared" si="26"/>
        <v>0.66499411019811316</v>
      </c>
      <c r="AC155" t="e">
        <f>#REF!*-1</f>
        <v>#REF!</v>
      </c>
      <c r="AD155" t="e">
        <f>TTBN_Numerator(AB155)</f>
        <v>#VALUE!</v>
      </c>
    </row>
    <row r="156" spans="14:30" x14ac:dyDescent="0.3">
      <c r="N156" s="2"/>
      <c r="W156">
        <f t="shared" si="24"/>
        <v>1.183100589395595</v>
      </c>
      <c r="Z156">
        <f t="shared" si="25"/>
        <v>6</v>
      </c>
      <c r="AA156">
        <f t="shared" si="23"/>
        <v>17.531056418179915</v>
      </c>
      <c r="AB156">
        <f t="shared" si="26"/>
        <v>0.63909697400592513</v>
      </c>
    </row>
    <row r="157" spans="14:30" x14ac:dyDescent="0.3">
      <c r="N157" s="2"/>
      <c r="W157">
        <f t="shared" si="24"/>
        <v>1.2109069376156516</v>
      </c>
      <c r="Z157">
        <f t="shared" si="25"/>
        <v>6</v>
      </c>
      <c r="AA157">
        <f t="shared" si="23"/>
        <v>17.503250069959861</v>
      </c>
      <c r="AB157">
        <f t="shared" si="26"/>
        <v>0.60781973946339873</v>
      </c>
    </row>
    <row r="158" spans="14:30" x14ac:dyDescent="0.3">
      <c r="N158" s="2"/>
      <c r="W158">
        <f t="shared" si="24"/>
        <v>1.2551481159424072</v>
      </c>
      <c r="Z158">
        <f t="shared" si="25"/>
        <v>6</v>
      </c>
      <c r="AA158">
        <f t="shared" si="23"/>
        <v>17.459008891633104</v>
      </c>
      <c r="AB158">
        <f t="shared" si="26"/>
        <v>0.57612627611480016</v>
      </c>
    </row>
    <row r="159" spans="14:30" x14ac:dyDescent="0.3">
      <c r="N159" s="2"/>
      <c r="W159">
        <f t="shared" si="24"/>
        <v>1.338434015864528</v>
      </c>
      <c r="Z159">
        <f t="shared" si="25"/>
        <v>6</v>
      </c>
      <c r="AA159">
        <f t="shared" si="23"/>
        <v>17.375722991710983</v>
      </c>
      <c r="AB159">
        <f t="shared" si="26"/>
        <v>0.53973940308666546</v>
      </c>
    </row>
    <row r="160" spans="14:30" x14ac:dyDescent="0.3">
      <c r="N160" s="2"/>
      <c r="W160">
        <f t="shared" si="24"/>
        <v>1.4752504388228256</v>
      </c>
      <c r="Z160">
        <f t="shared" si="25"/>
        <v>6</v>
      </c>
      <c r="AA160">
        <f t="shared" si="23"/>
        <v>17.238906568752686</v>
      </c>
      <c r="AB160">
        <f t="shared" si="26"/>
        <v>0.50459598065778399</v>
      </c>
    </row>
    <row r="161" spans="14:28" x14ac:dyDescent="0.3">
      <c r="N161" s="2"/>
      <c r="W161">
        <f t="shared" si="24"/>
        <v>1.7500498409303191</v>
      </c>
      <c r="Z161">
        <f t="shared" si="25"/>
        <v>6</v>
      </c>
      <c r="AA161">
        <f t="shared" si="23"/>
        <v>16.964107166645192</v>
      </c>
      <c r="AB161">
        <f t="shared" si="26"/>
        <v>0.4654409702187336</v>
      </c>
    </row>
    <row r="162" spans="14:28" x14ac:dyDescent="0.3">
      <c r="N162" s="2"/>
      <c r="W162">
        <f t="shared" si="24"/>
        <v>2.1966564988861639</v>
      </c>
      <c r="Z162">
        <f t="shared" si="25"/>
        <v>6</v>
      </c>
      <c r="AA162">
        <f t="shared" si="23"/>
        <v>16.517500508689348</v>
      </c>
      <c r="AB162">
        <f t="shared" si="26"/>
        <v>0.43134659976949657</v>
      </c>
    </row>
    <row r="163" spans="14:28" x14ac:dyDescent="0.3">
      <c r="N163" s="2"/>
      <c r="W163">
        <f t="shared" si="24"/>
        <v>2.2783011649994576</v>
      </c>
      <c r="Z163">
        <f t="shared" si="25"/>
        <v>6</v>
      </c>
      <c r="AA163">
        <f t="shared" si="23"/>
        <v>16.435855842576053</v>
      </c>
      <c r="AB163">
        <f t="shared" si="26"/>
        <v>0.42690955700104</v>
      </c>
    </row>
    <row r="164" spans="14:28" x14ac:dyDescent="0.3">
      <c r="N164" s="2"/>
      <c r="W164">
        <f t="shared" si="24"/>
        <v>0</v>
      </c>
      <c r="Z164">
        <f t="shared" si="25"/>
        <v>7</v>
      </c>
      <c r="AA164">
        <f t="shared" si="23"/>
        <v>16.435855842576053</v>
      </c>
      <c r="AB164">
        <f t="shared" si="26"/>
        <v>0.77145643900915783</v>
      </c>
    </row>
    <row r="165" spans="14:28" x14ac:dyDescent="0.3">
      <c r="N165" s="2"/>
      <c r="W165">
        <f t="shared" si="24"/>
        <v>1.1429999999999998</v>
      </c>
      <c r="Z165">
        <f t="shared" si="25"/>
        <v>7</v>
      </c>
      <c r="AA165">
        <f t="shared" si="23"/>
        <v>15.292855842576053</v>
      </c>
      <c r="AB165">
        <f t="shared" si="26"/>
        <v>0.77145643900915783</v>
      </c>
    </row>
    <row r="166" spans="14:28" x14ac:dyDescent="0.3">
      <c r="N166" s="2"/>
      <c r="W166">
        <f t="shared" si="24"/>
        <v>1.1429999999999998</v>
      </c>
      <c r="Z166">
        <f t="shared" si="25"/>
        <v>7</v>
      </c>
      <c r="AA166">
        <f t="shared" si="23"/>
        <v>15.292855842576053</v>
      </c>
      <c r="AB166">
        <f t="shared" si="26"/>
        <v>0.77068498257014872</v>
      </c>
    </row>
    <row r="167" spans="14:28" x14ac:dyDescent="0.3">
      <c r="N167" s="2"/>
      <c r="W167">
        <f t="shared" si="24"/>
        <v>1.1430009999999997</v>
      </c>
      <c r="Z167">
        <f t="shared" si="25"/>
        <v>7</v>
      </c>
      <c r="AA167">
        <f t="shared" si="23"/>
        <v>15.292854842576054</v>
      </c>
      <c r="AB167">
        <f t="shared" si="26"/>
        <v>0.77067300983892906</v>
      </c>
    </row>
    <row r="168" spans="14:28" x14ac:dyDescent="0.3">
      <c r="N168" s="2"/>
      <c r="W168">
        <f t="shared" si="24"/>
        <v>1.1435498904157428</v>
      </c>
      <c r="Z168">
        <f t="shared" si="25"/>
        <v>7</v>
      </c>
      <c r="AA168">
        <f t="shared" si="23"/>
        <v>15.29230595216031</v>
      </c>
      <c r="AB168">
        <f t="shared" si="26"/>
        <v>0.76448695437332481</v>
      </c>
    </row>
    <row r="169" spans="14:28" x14ac:dyDescent="0.3">
      <c r="N169" s="2"/>
      <c r="W169">
        <f t="shared" si="24"/>
        <v>1.1455954702393722</v>
      </c>
      <c r="Z169">
        <f t="shared" si="25"/>
        <v>7</v>
      </c>
      <c r="AA169">
        <f t="shared" si="23"/>
        <v>15.290260372336681</v>
      </c>
      <c r="AB169">
        <f t="shared" si="26"/>
        <v>0.7462179928210797</v>
      </c>
    </row>
    <row r="170" spans="14:28" x14ac:dyDescent="0.3">
      <c r="N170" s="2"/>
      <c r="W170">
        <f t="shared" si="24"/>
        <v>1.1480120980280246</v>
      </c>
      <c r="Z170">
        <f t="shared" si="25"/>
        <v>7</v>
      </c>
      <c r="AA170">
        <f t="shared" si="23"/>
        <v>15.287843744548029</v>
      </c>
      <c r="AB170">
        <f t="shared" si="26"/>
        <v>0.73027266839631366</v>
      </c>
    </row>
    <row r="171" spans="14:28" x14ac:dyDescent="0.3">
      <c r="N171" s="2"/>
      <c r="W171">
        <f t="shared" si="24"/>
        <v>1.1521461796584274</v>
      </c>
      <c r="Z171">
        <f t="shared" si="25"/>
        <v>7</v>
      </c>
      <c r="AA171">
        <f t="shared" si="23"/>
        <v>15.283709662917627</v>
      </c>
      <c r="AB171">
        <f t="shared" si="26"/>
        <v>0.7101552774493437</v>
      </c>
    </row>
    <row r="172" spans="14:28" x14ac:dyDescent="0.3">
      <c r="N172" s="2"/>
      <c r="W172">
        <f t="shared" si="24"/>
        <v>1.157464405515152</v>
      </c>
      <c r="Z172">
        <f t="shared" si="25"/>
        <v>7</v>
      </c>
      <c r="AA172">
        <f t="shared" si="23"/>
        <v>15.278391437060902</v>
      </c>
      <c r="AB172">
        <f t="shared" si="26"/>
        <v>0.69122254011085482</v>
      </c>
    </row>
    <row r="173" spans="14:28" x14ac:dyDescent="0.3">
      <c r="N173" s="2"/>
      <c r="W173">
        <f t="shared" si="24"/>
        <v>1.167916082410517</v>
      </c>
      <c r="Z173">
        <f t="shared" si="25"/>
        <v>7</v>
      </c>
      <c r="AA173">
        <f t="shared" si="23"/>
        <v>15.267939760165536</v>
      </c>
      <c r="AB173">
        <f t="shared" si="26"/>
        <v>0.66499411019811316</v>
      </c>
    </row>
    <row r="174" spans="14:28" x14ac:dyDescent="0.3">
      <c r="N174" s="2"/>
      <c r="W174">
        <f t="shared" si="24"/>
        <v>1.183100589395595</v>
      </c>
      <c r="Z174">
        <f t="shared" si="25"/>
        <v>7</v>
      </c>
      <c r="AA174">
        <f t="shared" si="23"/>
        <v>15.252755253180458</v>
      </c>
      <c r="AB174">
        <f t="shared" si="26"/>
        <v>0.63909697400592513</v>
      </c>
    </row>
    <row r="175" spans="14:28" x14ac:dyDescent="0.3">
      <c r="N175" s="2"/>
      <c r="W175">
        <f t="shared" si="24"/>
        <v>1.2109069376156516</v>
      </c>
      <c r="Z175">
        <f t="shared" si="25"/>
        <v>7</v>
      </c>
      <c r="AA175">
        <f t="shared" si="23"/>
        <v>15.224948904960401</v>
      </c>
      <c r="AB175">
        <f t="shared" si="26"/>
        <v>0.60781973946339873</v>
      </c>
    </row>
    <row r="176" spans="14:28" x14ac:dyDescent="0.3">
      <c r="N176" s="2"/>
      <c r="W176">
        <f t="shared" si="24"/>
        <v>1.2551481159424072</v>
      </c>
      <c r="Z176">
        <f t="shared" si="25"/>
        <v>7</v>
      </c>
      <c r="AA176">
        <f t="shared" si="23"/>
        <v>15.180707726633646</v>
      </c>
      <c r="AB176">
        <f t="shared" si="26"/>
        <v>0.57612627611480016</v>
      </c>
    </row>
    <row r="177" spans="14:28" x14ac:dyDescent="0.3">
      <c r="N177" s="2"/>
      <c r="W177">
        <f t="shared" si="24"/>
        <v>1.338434015864528</v>
      </c>
      <c r="Z177">
        <f t="shared" si="25"/>
        <v>7</v>
      </c>
      <c r="AA177">
        <f t="shared" si="23"/>
        <v>15.097421826711525</v>
      </c>
      <c r="AB177">
        <f t="shared" si="26"/>
        <v>0.53973940308666546</v>
      </c>
    </row>
    <row r="178" spans="14:28" x14ac:dyDescent="0.3">
      <c r="N178" s="2"/>
      <c r="W178">
        <f t="shared" si="24"/>
        <v>1.4752504388228256</v>
      </c>
      <c r="Z178">
        <f t="shared" si="25"/>
        <v>7</v>
      </c>
      <c r="AA178">
        <f t="shared" si="23"/>
        <v>14.960605403753227</v>
      </c>
      <c r="AB178">
        <f t="shared" si="26"/>
        <v>0.50459598065778399</v>
      </c>
    </row>
    <row r="179" spans="14:28" x14ac:dyDescent="0.3">
      <c r="N179" s="2"/>
      <c r="W179">
        <f t="shared" si="24"/>
        <v>1.7500498409303191</v>
      </c>
      <c r="Z179">
        <f t="shared" si="25"/>
        <v>7</v>
      </c>
      <c r="AA179">
        <f t="shared" si="23"/>
        <v>14.685806001645734</v>
      </c>
      <c r="AB179">
        <f t="shared" si="26"/>
        <v>0.4654409702187336</v>
      </c>
    </row>
    <row r="180" spans="14:28" x14ac:dyDescent="0.3">
      <c r="N180" s="2"/>
      <c r="W180">
        <f t="shared" si="24"/>
        <v>2.1966564988861639</v>
      </c>
      <c r="Z180">
        <f t="shared" si="25"/>
        <v>7</v>
      </c>
      <c r="AA180">
        <f t="shared" si="23"/>
        <v>14.23919934368989</v>
      </c>
      <c r="AB180">
        <f t="shared" si="26"/>
        <v>0.43134659976949657</v>
      </c>
    </row>
    <row r="181" spans="14:28" x14ac:dyDescent="0.3">
      <c r="N181" s="2"/>
      <c r="W181">
        <f t="shared" si="24"/>
        <v>2.2783011649994576</v>
      </c>
      <c r="Z181">
        <f t="shared" si="25"/>
        <v>7</v>
      </c>
      <c r="AA181">
        <f t="shared" si="23"/>
        <v>14.157554677576595</v>
      </c>
      <c r="AB181">
        <f t="shared" si="26"/>
        <v>0.42690955700104</v>
      </c>
    </row>
    <row r="182" spans="14:28" x14ac:dyDescent="0.3">
      <c r="N182" s="2"/>
      <c r="W182">
        <f t="shared" si="24"/>
        <v>0</v>
      </c>
      <c r="Z182">
        <f t="shared" si="25"/>
        <v>8</v>
      </c>
      <c r="AA182">
        <f t="shared" si="23"/>
        <v>14.157554677576599</v>
      </c>
      <c r="AB182">
        <f t="shared" si="26"/>
        <v>0.77145643900915783</v>
      </c>
    </row>
    <row r="183" spans="14:28" x14ac:dyDescent="0.3">
      <c r="N183" s="2"/>
      <c r="W183">
        <f t="shared" si="24"/>
        <v>1.1429999999999998</v>
      </c>
      <c r="Z183">
        <f t="shared" si="25"/>
        <v>8</v>
      </c>
      <c r="AA183">
        <f t="shared" si="23"/>
        <v>13.014554677576598</v>
      </c>
      <c r="AB183">
        <f t="shared" si="26"/>
        <v>0.77145643900915783</v>
      </c>
    </row>
    <row r="184" spans="14:28" x14ac:dyDescent="0.3">
      <c r="N184" s="2"/>
      <c r="W184">
        <f t="shared" si="24"/>
        <v>1.1429999999999998</v>
      </c>
      <c r="Z184">
        <f t="shared" si="25"/>
        <v>8</v>
      </c>
      <c r="AA184">
        <f t="shared" si="23"/>
        <v>13.014554677576598</v>
      </c>
      <c r="AB184">
        <f t="shared" si="26"/>
        <v>0.77068498257014872</v>
      </c>
    </row>
    <row r="185" spans="14:28" x14ac:dyDescent="0.3">
      <c r="N185" s="2"/>
      <c r="W185">
        <f t="shared" si="24"/>
        <v>1.1430009999999997</v>
      </c>
      <c r="Z185">
        <f t="shared" si="25"/>
        <v>8</v>
      </c>
      <c r="AA185">
        <f t="shared" ref="AA185:AA248" si="27">$AA$55-(Z185-1)*$X$51-W185</f>
        <v>13.014553677576599</v>
      </c>
      <c r="AB185">
        <f t="shared" si="26"/>
        <v>0.77067300983892906</v>
      </c>
    </row>
    <row r="186" spans="14:28" x14ac:dyDescent="0.3">
      <c r="N186" s="2"/>
      <c r="W186">
        <f t="shared" si="24"/>
        <v>1.1435498904157428</v>
      </c>
      <c r="Z186">
        <f t="shared" si="25"/>
        <v>8</v>
      </c>
      <c r="AA186">
        <f t="shared" si="27"/>
        <v>13.014004787160856</v>
      </c>
      <c r="AB186">
        <f t="shared" si="26"/>
        <v>0.76448695437332481</v>
      </c>
    </row>
    <row r="187" spans="14:28" x14ac:dyDescent="0.3">
      <c r="N187" s="2"/>
      <c r="W187">
        <f t="shared" si="24"/>
        <v>1.1455954702393722</v>
      </c>
      <c r="Z187">
        <f t="shared" si="25"/>
        <v>8</v>
      </c>
      <c r="AA187">
        <f t="shared" si="27"/>
        <v>13.011959207337226</v>
      </c>
      <c r="AB187">
        <f t="shared" si="26"/>
        <v>0.7462179928210797</v>
      </c>
    </row>
    <row r="188" spans="14:28" x14ac:dyDescent="0.3">
      <c r="N188" s="2"/>
      <c r="W188">
        <f t="shared" si="24"/>
        <v>1.1480120980280246</v>
      </c>
      <c r="Z188">
        <f t="shared" si="25"/>
        <v>8</v>
      </c>
      <c r="AA188">
        <f t="shared" si="27"/>
        <v>13.009542579548574</v>
      </c>
      <c r="AB188">
        <f t="shared" si="26"/>
        <v>0.73027266839631366</v>
      </c>
    </row>
    <row r="189" spans="14:28" x14ac:dyDescent="0.3">
      <c r="N189" s="2"/>
      <c r="W189">
        <f t="shared" si="24"/>
        <v>1.1521461796584274</v>
      </c>
      <c r="Z189">
        <f t="shared" si="25"/>
        <v>8</v>
      </c>
      <c r="AA189">
        <f t="shared" si="27"/>
        <v>13.005408497918172</v>
      </c>
      <c r="AB189">
        <f t="shared" si="26"/>
        <v>0.7101552774493437</v>
      </c>
    </row>
    <row r="190" spans="14:28" x14ac:dyDescent="0.3">
      <c r="N190" s="2"/>
      <c r="W190">
        <f t="shared" si="24"/>
        <v>1.157464405515152</v>
      </c>
      <c r="Z190">
        <f t="shared" si="25"/>
        <v>8</v>
      </c>
      <c r="AA190">
        <f t="shared" si="27"/>
        <v>13.000090272061447</v>
      </c>
      <c r="AB190">
        <f t="shared" si="26"/>
        <v>0.69122254011085482</v>
      </c>
    </row>
    <row r="191" spans="14:28" x14ac:dyDescent="0.3">
      <c r="N191" s="2"/>
      <c r="W191">
        <f t="shared" si="24"/>
        <v>1.167916082410517</v>
      </c>
      <c r="Z191">
        <f t="shared" si="25"/>
        <v>8</v>
      </c>
      <c r="AA191">
        <f t="shared" si="27"/>
        <v>12.989638595166081</v>
      </c>
      <c r="AB191">
        <f t="shared" si="26"/>
        <v>0.66499411019811316</v>
      </c>
    </row>
    <row r="192" spans="14:28" x14ac:dyDescent="0.3">
      <c r="N192" s="2"/>
      <c r="W192">
        <f t="shared" si="24"/>
        <v>1.183100589395595</v>
      </c>
      <c r="Z192">
        <f t="shared" si="25"/>
        <v>8</v>
      </c>
      <c r="AA192">
        <f t="shared" si="27"/>
        <v>12.974454088181004</v>
      </c>
      <c r="AB192">
        <f t="shared" si="26"/>
        <v>0.63909697400592513</v>
      </c>
    </row>
    <row r="193" spans="14:28" x14ac:dyDescent="0.3">
      <c r="N193" s="2"/>
      <c r="W193">
        <f t="shared" si="24"/>
        <v>1.2109069376156516</v>
      </c>
      <c r="Z193">
        <f t="shared" si="25"/>
        <v>8</v>
      </c>
      <c r="AA193">
        <f t="shared" si="27"/>
        <v>12.946647739960946</v>
      </c>
      <c r="AB193">
        <f t="shared" si="26"/>
        <v>0.60781973946339873</v>
      </c>
    </row>
    <row r="194" spans="14:28" x14ac:dyDescent="0.3">
      <c r="N194" s="2"/>
      <c r="W194">
        <f t="shared" si="24"/>
        <v>1.2551481159424072</v>
      </c>
      <c r="Z194">
        <f t="shared" si="25"/>
        <v>8</v>
      </c>
      <c r="AA194">
        <f t="shared" si="27"/>
        <v>12.902406561634191</v>
      </c>
      <c r="AB194">
        <f t="shared" si="26"/>
        <v>0.57612627611480016</v>
      </c>
    </row>
    <row r="195" spans="14:28" x14ac:dyDescent="0.3">
      <c r="N195" s="2"/>
      <c r="W195">
        <f t="shared" si="24"/>
        <v>1.338434015864528</v>
      </c>
      <c r="Z195">
        <f t="shared" si="25"/>
        <v>8</v>
      </c>
      <c r="AA195">
        <f t="shared" si="27"/>
        <v>12.81912066171207</v>
      </c>
      <c r="AB195">
        <f t="shared" si="26"/>
        <v>0.53973940308666546</v>
      </c>
    </row>
    <row r="196" spans="14:28" x14ac:dyDescent="0.3">
      <c r="N196" s="2"/>
      <c r="W196">
        <f t="shared" si="24"/>
        <v>1.4752504388228256</v>
      </c>
      <c r="Z196">
        <f t="shared" si="25"/>
        <v>8</v>
      </c>
      <c r="AA196">
        <f t="shared" si="27"/>
        <v>12.682304238753773</v>
      </c>
      <c r="AB196">
        <f t="shared" si="26"/>
        <v>0.50459598065778399</v>
      </c>
    </row>
    <row r="197" spans="14:28" x14ac:dyDescent="0.3">
      <c r="N197" s="2"/>
      <c r="W197">
        <f t="shared" si="24"/>
        <v>1.7500498409303191</v>
      </c>
      <c r="Z197">
        <f t="shared" si="25"/>
        <v>8</v>
      </c>
      <c r="AA197">
        <f t="shared" si="27"/>
        <v>12.407504836646279</v>
      </c>
      <c r="AB197">
        <f t="shared" si="26"/>
        <v>0.4654409702187336</v>
      </c>
    </row>
    <row r="198" spans="14:28" x14ac:dyDescent="0.3">
      <c r="N198" s="2"/>
      <c r="W198">
        <f t="shared" si="24"/>
        <v>2.1966564988861639</v>
      </c>
      <c r="Z198">
        <f t="shared" si="25"/>
        <v>8</v>
      </c>
      <c r="AA198">
        <f t="shared" si="27"/>
        <v>11.960898178690435</v>
      </c>
      <c r="AB198">
        <f t="shared" si="26"/>
        <v>0.43134659976949657</v>
      </c>
    </row>
    <row r="199" spans="14:28" x14ac:dyDescent="0.3">
      <c r="N199" s="2"/>
      <c r="W199">
        <f t="shared" si="24"/>
        <v>2.2783011649994576</v>
      </c>
      <c r="Z199">
        <f t="shared" si="25"/>
        <v>8</v>
      </c>
      <c r="AA199">
        <f t="shared" si="27"/>
        <v>11.87925351257714</v>
      </c>
      <c r="AB199">
        <f t="shared" si="26"/>
        <v>0.42690955700104</v>
      </c>
    </row>
    <row r="200" spans="14:28" x14ac:dyDescent="0.3">
      <c r="N200" s="2"/>
      <c r="W200">
        <f t="shared" si="24"/>
        <v>0</v>
      </c>
      <c r="Z200">
        <f t="shared" si="25"/>
        <v>9</v>
      </c>
      <c r="AA200">
        <f t="shared" si="27"/>
        <v>11.87925351257714</v>
      </c>
      <c r="AB200">
        <f t="shared" si="26"/>
        <v>0.77145643900915783</v>
      </c>
    </row>
    <row r="201" spans="14:28" x14ac:dyDescent="0.3">
      <c r="N201" s="2"/>
      <c r="W201">
        <f t="shared" si="24"/>
        <v>1.1429999999999998</v>
      </c>
      <c r="Z201">
        <f t="shared" si="25"/>
        <v>9</v>
      </c>
      <c r="AA201">
        <f t="shared" si="27"/>
        <v>10.736253512577139</v>
      </c>
      <c r="AB201">
        <f t="shared" si="26"/>
        <v>0.77145643900915783</v>
      </c>
    </row>
    <row r="202" spans="14:28" x14ac:dyDescent="0.3">
      <c r="N202" s="2"/>
      <c r="W202">
        <f t="shared" si="24"/>
        <v>1.1429999999999998</v>
      </c>
      <c r="Z202">
        <f t="shared" si="25"/>
        <v>9</v>
      </c>
      <c r="AA202">
        <f t="shared" si="27"/>
        <v>10.736253512577139</v>
      </c>
      <c r="AB202">
        <f t="shared" si="26"/>
        <v>0.77068498257014872</v>
      </c>
    </row>
    <row r="203" spans="14:28" x14ac:dyDescent="0.3">
      <c r="N203" s="2"/>
      <c r="W203">
        <f t="shared" ref="W203:W266" si="28">W185</f>
        <v>1.1430009999999997</v>
      </c>
      <c r="Z203">
        <f t="shared" ref="Z203:Z266" si="29">Z185+1</f>
        <v>9</v>
      </c>
      <c r="AA203">
        <f t="shared" si="27"/>
        <v>10.73625251257714</v>
      </c>
      <c r="AB203">
        <f t="shared" ref="AB203:AB266" si="30">AB185</f>
        <v>0.77067300983892906</v>
      </c>
    </row>
    <row r="204" spans="14:28" x14ac:dyDescent="0.3">
      <c r="N204" s="2"/>
      <c r="W204">
        <f t="shared" si="28"/>
        <v>1.1435498904157428</v>
      </c>
      <c r="Z204">
        <f t="shared" si="29"/>
        <v>9</v>
      </c>
      <c r="AA204">
        <f t="shared" si="27"/>
        <v>10.735703622161397</v>
      </c>
      <c r="AB204">
        <f t="shared" si="30"/>
        <v>0.76448695437332481</v>
      </c>
    </row>
    <row r="205" spans="14:28" x14ac:dyDescent="0.3">
      <c r="N205" s="2"/>
      <c r="W205">
        <f t="shared" si="28"/>
        <v>1.1455954702393722</v>
      </c>
      <c r="Z205">
        <f t="shared" si="29"/>
        <v>9</v>
      </c>
      <c r="AA205">
        <f t="shared" si="27"/>
        <v>10.733658042337767</v>
      </c>
      <c r="AB205">
        <f t="shared" si="30"/>
        <v>0.7462179928210797</v>
      </c>
    </row>
    <row r="206" spans="14:28" x14ac:dyDescent="0.3">
      <c r="N206" s="2"/>
      <c r="W206">
        <f t="shared" si="28"/>
        <v>1.1480120980280246</v>
      </c>
      <c r="Z206">
        <f t="shared" si="29"/>
        <v>9</v>
      </c>
      <c r="AA206">
        <f t="shared" si="27"/>
        <v>10.731241414549116</v>
      </c>
      <c r="AB206">
        <f t="shared" si="30"/>
        <v>0.73027266839631366</v>
      </c>
    </row>
    <row r="207" spans="14:28" x14ac:dyDescent="0.3">
      <c r="N207" s="2"/>
      <c r="W207">
        <f t="shared" si="28"/>
        <v>1.1521461796584274</v>
      </c>
      <c r="Z207">
        <f t="shared" si="29"/>
        <v>9</v>
      </c>
      <c r="AA207">
        <f t="shared" si="27"/>
        <v>10.727107332918713</v>
      </c>
      <c r="AB207">
        <f t="shared" si="30"/>
        <v>0.7101552774493437</v>
      </c>
    </row>
    <row r="208" spans="14:28" x14ac:dyDescent="0.3">
      <c r="N208" s="2"/>
      <c r="W208">
        <f t="shared" si="28"/>
        <v>1.157464405515152</v>
      </c>
      <c r="Z208">
        <f t="shared" si="29"/>
        <v>9</v>
      </c>
      <c r="AA208">
        <f t="shared" si="27"/>
        <v>10.721789107061989</v>
      </c>
      <c r="AB208">
        <f t="shared" si="30"/>
        <v>0.69122254011085482</v>
      </c>
    </row>
    <row r="209" spans="14:28" x14ac:dyDescent="0.3">
      <c r="N209" s="2"/>
      <c r="W209">
        <f t="shared" si="28"/>
        <v>1.167916082410517</v>
      </c>
      <c r="Z209">
        <f t="shared" si="29"/>
        <v>9</v>
      </c>
      <c r="AA209">
        <f t="shared" si="27"/>
        <v>10.711337430166623</v>
      </c>
      <c r="AB209">
        <f t="shared" si="30"/>
        <v>0.66499411019811316</v>
      </c>
    </row>
    <row r="210" spans="14:28" x14ac:dyDescent="0.3">
      <c r="N210" s="2"/>
      <c r="W210">
        <f t="shared" si="28"/>
        <v>1.183100589395595</v>
      </c>
      <c r="Z210">
        <f t="shared" si="29"/>
        <v>9</v>
      </c>
      <c r="AA210">
        <f t="shared" si="27"/>
        <v>10.696152923181545</v>
      </c>
      <c r="AB210">
        <f t="shared" si="30"/>
        <v>0.63909697400592513</v>
      </c>
    </row>
    <row r="211" spans="14:28" x14ac:dyDescent="0.3">
      <c r="N211" s="2"/>
      <c r="W211">
        <f t="shared" si="28"/>
        <v>1.2109069376156516</v>
      </c>
      <c r="Z211">
        <f t="shared" si="29"/>
        <v>9</v>
      </c>
      <c r="AA211">
        <f t="shared" si="27"/>
        <v>10.668346574961488</v>
      </c>
      <c r="AB211">
        <f t="shared" si="30"/>
        <v>0.60781973946339873</v>
      </c>
    </row>
    <row r="212" spans="14:28" x14ac:dyDescent="0.3">
      <c r="N212" s="2"/>
      <c r="W212">
        <f t="shared" si="28"/>
        <v>1.2551481159424072</v>
      </c>
      <c r="Z212">
        <f t="shared" si="29"/>
        <v>9</v>
      </c>
      <c r="AA212">
        <f t="shared" si="27"/>
        <v>10.624105396634732</v>
      </c>
      <c r="AB212">
        <f t="shared" si="30"/>
        <v>0.57612627611480016</v>
      </c>
    </row>
    <row r="213" spans="14:28" x14ac:dyDescent="0.3">
      <c r="N213" s="2"/>
      <c r="W213">
        <f t="shared" si="28"/>
        <v>1.338434015864528</v>
      </c>
      <c r="Z213">
        <f t="shared" si="29"/>
        <v>9</v>
      </c>
      <c r="AA213">
        <f t="shared" si="27"/>
        <v>10.540819496712611</v>
      </c>
      <c r="AB213">
        <f t="shared" si="30"/>
        <v>0.53973940308666546</v>
      </c>
    </row>
    <row r="214" spans="14:28" x14ac:dyDescent="0.3">
      <c r="N214" s="2"/>
      <c r="W214">
        <f t="shared" si="28"/>
        <v>1.4752504388228256</v>
      </c>
      <c r="Z214">
        <f t="shared" si="29"/>
        <v>9</v>
      </c>
      <c r="AA214">
        <f t="shared" si="27"/>
        <v>10.404003073754314</v>
      </c>
      <c r="AB214">
        <f t="shared" si="30"/>
        <v>0.50459598065778399</v>
      </c>
    </row>
    <row r="215" spans="14:28" x14ac:dyDescent="0.3">
      <c r="N215" s="2"/>
      <c r="W215">
        <f t="shared" si="28"/>
        <v>1.7500498409303191</v>
      </c>
      <c r="Z215">
        <f t="shared" si="29"/>
        <v>9</v>
      </c>
      <c r="AA215">
        <f t="shared" si="27"/>
        <v>10.12920367164682</v>
      </c>
      <c r="AB215">
        <f t="shared" si="30"/>
        <v>0.4654409702187336</v>
      </c>
    </row>
    <row r="216" spans="14:28" x14ac:dyDescent="0.3">
      <c r="N216" s="2"/>
      <c r="W216">
        <f t="shared" si="28"/>
        <v>2.1966564988861639</v>
      </c>
      <c r="Z216">
        <f t="shared" si="29"/>
        <v>9</v>
      </c>
      <c r="AA216">
        <f t="shared" si="27"/>
        <v>9.6825970136909767</v>
      </c>
      <c r="AB216">
        <f t="shared" si="30"/>
        <v>0.43134659976949657</v>
      </c>
    </row>
    <row r="217" spans="14:28" x14ac:dyDescent="0.3">
      <c r="N217" s="2"/>
      <c r="W217">
        <f t="shared" si="28"/>
        <v>2.2783011649994576</v>
      </c>
      <c r="Z217">
        <f t="shared" si="29"/>
        <v>9</v>
      </c>
      <c r="AA217">
        <f t="shared" si="27"/>
        <v>9.6009523475776817</v>
      </c>
      <c r="AB217">
        <f t="shared" si="30"/>
        <v>0.42690955700104</v>
      </c>
    </row>
    <row r="218" spans="14:28" x14ac:dyDescent="0.3">
      <c r="N218" s="2"/>
      <c r="W218">
        <f t="shared" si="28"/>
        <v>0</v>
      </c>
      <c r="Z218">
        <f t="shared" si="29"/>
        <v>10</v>
      </c>
      <c r="AA218">
        <f t="shared" si="27"/>
        <v>9.6009523475776817</v>
      </c>
      <c r="AB218">
        <f t="shared" si="30"/>
        <v>0.77145643900915783</v>
      </c>
    </row>
    <row r="219" spans="14:28" x14ac:dyDescent="0.3">
      <c r="N219" s="2"/>
      <c r="W219">
        <f t="shared" si="28"/>
        <v>1.1429999999999998</v>
      </c>
      <c r="Z219">
        <f t="shared" si="29"/>
        <v>10</v>
      </c>
      <c r="AA219">
        <f t="shared" si="27"/>
        <v>8.457952347577681</v>
      </c>
      <c r="AB219">
        <f t="shared" si="30"/>
        <v>0.77145643900915783</v>
      </c>
    </row>
    <row r="220" spans="14:28" x14ac:dyDescent="0.3">
      <c r="N220" s="2"/>
      <c r="W220">
        <f t="shared" si="28"/>
        <v>1.1429999999999998</v>
      </c>
      <c r="Z220">
        <f t="shared" si="29"/>
        <v>10</v>
      </c>
      <c r="AA220">
        <f t="shared" si="27"/>
        <v>8.457952347577681</v>
      </c>
      <c r="AB220">
        <f t="shared" si="30"/>
        <v>0.77068498257014872</v>
      </c>
    </row>
    <row r="221" spans="14:28" x14ac:dyDescent="0.3">
      <c r="N221" s="2"/>
      <c r="W221">
        <f t="shared" si="28"/>
        <v>1.1430009999999997</v>
      </c>
      <c r="Z221">
        <f t="shared" si="29"/>
        <v>10</v>
      </c>
      <c r="AA221">
        <f t="shared" si="27"/>
        <v>8.4579513475776817</v>
      </c>
      <c r="AB221">
        <f t="shared" si="30"/>
        <v>0.77067300983892906</v>
      </c>
    </row>
    <row r="222" spans="14:28" x14ac:dyDescent="0.3">
      <c r="N222" s="2"/>
      <c r="W222">
        <f t="shared" si="28"/>
        <v>1.1435498904157428</v>
      </c>
      <c r="Z222">
        <f t="shared" si="29"/>
        <v>10</v>
      </c>
      <c r="AA222">
        <f t="shared" si="27"/>
        <v>8.4574024571619386</v>
      </c>
      <c r="AB222">
        <f t="shared" si="30"/>
        <v>0.76448695437332481</v>
      </c>
    </row>
    <row r="223" spans="14:28" x14ac:dyDescent="0.3">
      <c r="N223" s="2"/>
      <c r="W223">
        <f t="shared" si="28"/>
        <v>1.1455954702393722</v>
      </c>
      <c r="Z223">
        <f t="shared" si="29"/>
        <v>10</v>
      </c>
      <c r="AA223">
        <f t="shared" si="27"/>
        <v>8.4553568773383088</v>
      </c>
      <c r="AB223">
        <f t="shared" si="30"/>
        <v>0.7462179928210797</v>
      </c>
    </row>
    <row r="224" spans="14:28" x14ac:dyDescent="0.3">
      <c r="N224" s="2"/>
      <c r="W224">
        <f t="shared" si="28"/>
        <v>1.1480120980280246</v>
      </c>
      <c r="Z224">
        <f t="shared" si="29"/>
        <v>10</v>
      </c>
      <c r="AA224">
        <f t="shared" si="27"/>
        <v>8.4529402495496573</v>
      </c>
      <c r="AB224">
        <f t="shared" si="30"/>
        <v>0.73027266839631366</v>
      </c>
    </row>
    <row r="225" spans="14:28" x14ac:dyDescent="0.3">
      <c r="N225" s="2"/>
      <c r="W225">
        <f t="shared" si="28"/>
        <v>1.1521461796584274</v>
      </c>
      <c r="Z225">
        <f t="shared" si="29"/>
        <v>10</v>
      </c>
      <c r="AA225">
        <f t="shared" si="27"/>
        <v>8.4488061679192548</v>
      </c>
      <c r="AB225">
        <f t="shared" si="30"/>
        <v>0.7101552774493437</v>
      </c>
    </row>
    <row r="226" spans="14:28" x14ac:dyDescent="0.3">
      <c r="N226" s="2"/>
      <c r="W226">
        <f t="shared" si="28"/>
        <v>1.157464405515152</v>
      </c>
      <c r="Z226">
        <f t="shared" si="29"/>
        <v>10</v>
      </c>
      <c r="AA226">
        <f t="shared" si="27"/>
        <v>8.4434879420625304</v>
      </c>
      <c r="AB226">
        <f t="shared" si="30"/>
        <v>0.69122254011085482</v>
      </c>
    </row>
    <row r="227" spans="14:28" x14ac:dyDescent="0.3">
      <c r="N227" s="2"/>
      <c r="W227">
        <f t="shared" si="28"/>
        <v>1.167916082410517</v>
      </c>
      <c r="Z227">
        <f t="shared" si="29"/>
        <v>10</v>
      </c>
      <c r="AA227">
        <f t="shared" si="27"/>
        <v>8.4330362651671642</v>
      </c>
      <c r="AB227">
        <f t="shared" si="30"/>
        <v>0.66499411019811316</v>
      </c>
    </row>
    <row r="228" spans="14:28" x14ac:dyDescent="0.3">
      <c r="N228" s="2"/>
      <c r="W228">
        <f t="shared" si="28"/>
        <v>1.183100589395595</v>
      </c>
      <c r="Z228">
        <f t="shared" si="29"/>
        <v>10</v>
      </c>
      <c r="AA228">
        <f t="shared" si="27"/>
        <v>8.4178517581820866</v>
      </c>
      <c r="AB228">
        <f t="shared" si="30"/>
        <v>0.63909697400592513</v>
      </c>
    </row>
    <row r="229" spans="14:28" x14ac:dyDescent="0.3">
      <c r="W229">
        <f t="shared" si="28"/>
        <v>1.2109069376156516</v>
      </c>
      <c r="Z229">
        <f t="shared" si="29"/>
        <v>10</v>
      </c>
      <c r="AA229">
        <f t="shared" si="27"/>
        <v>8.3900454099620294</v>
      </c>
      <c r="AB229">
        <f t="shared" si="30"/>
        <v>0.60781973946339873</v>
      </c>
    </row>
    <row r="230" spans="14:28" x14ac:dyDescent="0.3">
      <c r="W230">
        <f t="shared" si="28"/>
        <v>1.2551481159424072</v>
      </c>
      <c r="Z230">
        <f t="shared" si="29"/>
        <v>10</v>
      </c>
      <c r="AA230">
        <f t="shared" si="27"/>
        <v>8.3458042316352739</v>
      </c>
      <c r="AB230">
        <f t="shared" si="30"/>
        <v>0.57612627611480016</v>
      </c>
    </row>
    <row r="231" spans="14:28" x14ac:dyDescent="0.3">
      <c r="W231">
        <f t="shared" si="28"/>
        <v>1.338434015864528</v>
      </c>
      <c r="Z231">
        <f t="shared" si="29"/>
        <v>10</v>
      </c>
      <c r="AA231">
        <f t="shared" si="27"/>
        <v>8.262518331713153</v>
      </c>
      <c r="AB231">
        <f t="shared" si="30"/>
        <v>0.53973940308666546</v>
      </c>
    </row>
    <row r="232" spans="14:28" x14ac:dyDescent="0.3">
      <c r="W232">
        <f t="shared" si="28"/>
        <v>1.4752504388228256</v>
      </c>
      <c r="Z232">
        <f t="shared" si="29"/>
        <v>10</v>
      </c>
      <c r="AA232">
        <f t="shared" si="27"/>
        <v>8.1257019087548557</v>
      </c>
      <c r="AB232">
        <f t="shared" si="30"/>
        <v>0.50459598065778399</v>
      </c>
    </row>
    <row r="233" spans="14:28" x14ac:dyDescent="0.3">
      <c r="W233">
        <f t="shared" si="28"/>
        <v>1.7500498409303191</v>
      </c>
      <c r="Z233">
        <f t="shared" si="29"/>
        <v>10</v>
      </c>
      <c r="AA233">
        <f t="shared" si="27"/>
        <v>7.8509025066473628</v>
      </c>
      <c r="AB233">
        <f t="shared" si="30"/>
        <v>0.4654409702187336</v>
      </c>
    </row>
    <row r="234" spans="14:28" x14ac:dyDescent="0.3">
      <c r="W234">
        <f t="shared" si="28"/>
        <v>2.1966564988861639</v>
      </c>
      <c r="Z234">
        <f t="shared" si="29"/>
        <v>10</v>
      </c>
      <c r="AA234">
        <f t="shared" si="27"/>
        <v>7.4042958486915182</v>
      </c>
      <c r="AB234">
        <f t="shared" si="30"/>
        <v>0.43134659976949657</v>
      </c>
    </row>
    <row r="235" spans="14:28" x14ac:dyDescent="0.3">
      <c r="W235">
        <f t="shared" si="28"/>
        <v>2.2783011649994576</v>
      </c>
      <c r="Z235">
        <f t="shared" si="29"/>
        <v>10</v>
      </c>
      <c r="AA235">
        <f t="shared" si="27"/>
        <v>7.3226511825782241</v>
      </c>
      <c r="AB235">
        <f t="shared" si="30"/>
        <v>0.42690955700104</v>
      </c>
    </row>
    <row r="236" spans="14:28" x14ac:dyDescent="0.3">
      <c r="W236">
        <f t="shared" si="28"/>
        <v>0</v>
      </c>
      <c r="Z236">
        <f t="shared" si="29"/>
        <v>11</v>
      </c>
      <c r="AA236">
        <f t="shared" si="27"/>
        <v>7.3226511825782232</v>
      </c>
      <c r="AB236">
        <f t="shared" si="30"/>
        <v>0.77145643900915783</v>
      </c>
    </row>
    <row r="237" spans="14:28" x14ac:dyDescent="0.3">
      <c r="W237">
        <f t="shared" si="28"/>
        <v>1.1429999999999998</v>
      </c>
      <c r="Z237">
        <f t="shared" si="29"/>
        <v>11</v>
      </c>
      <c r="AA237">
        <f t="shared" si="27"/>
        <v>6.1796511825782234</v>
      </c>
      <c r="AB237">
        <f t="shared" si="30"/>
        <v>0.77145643900915783</v>
      </c>
    </row>
    <row r="238" spans="14:28" x14ac:dyDescent="0.3">
      <c r="W238">
        <f t="shared" si="28"/>
        <v>1.1429999999999998</v>
      </c>
      <c r="Z238">
        <f t="shared" si="29"/>
        <v>11</v>
      </c>
      <c r="AA238">
        <f t="shared" si="27"/>
        <v>6.1796511825782234</v>
      </c>
      <c r="AB238">
        <f t="shared" si="30"/>
        <v>0.77068498257014872</v>
      </c>
    </row>
    <row r="239" spans="14:28" x14ac:dyDescent="0.3">
      <c r="W239">
        <f t="shared" si="28"/>
        <v>1.1430009999999997</v>
      </c>
      <c r="Z239">
        <f t="shared" si="29"/>
        <v>11</v>
      </c>
      <c r="AA239">
        <f t="shared" si="27"/>
        <v>6.1796501825782233</v>
      </c>
      <c r="AB239">
        <f t="shared" si="30"/>
        <v>0.77067300983892906</v>
      </c>
    </row>
    <row r="240" spans="14:28" x14ac:dyDescent="0.3">
      <c r="W240">
        <f t="shared" si="28"/>
        <v>1.1435498904157428</v>
      </c>
      <c r="Z240">
        <f t="shared" si="29"/>
        <v>11</v>
      </c>
      <c r="AA240">
        <f t="shared" si="27"/>
        <v>6.1791012921624802</v>
      </c>
      <c r="AB240">
        <f t="shared" si="30"/>
        <v>0.76448695437332481</v>
      </c>
    </row>
    <row r="241" spans="23:28" x14ac:dyDescent="0.3">
      <c r="W241">
        <f t="shared" si="28"/>
        <v>1.1455954702393722</v>
      </c>
      <c r="Z241">
        <f t="shared" si="29"/>
        <v>11</v>
      </c>
      <c r="AA241">
        <f t="shared" si="27"/>
        <v>6.1770557123388512</v>
      </c>
      <c r="AB241">
        <f t="shared" si="30"/>
        <v>0.7462179928210797</v>
      </c>
    </row>
    <row r="242" spans="23:28" x14ac:dyDescent="0.3">
      <c r="W242">
        <f t="shared" si="28"/>
        <v>1.1480120980280246</v>
      </c>
      <c r="Z242">
        <f t="shared" si="29"/>
        <v>11</v>
      </c>
      <c r="AA242">
        <f t="shared" si="27"/>
        <v>6.1746390845501988</v>
      </c>
      <c r="AB242">
        <f t="shared" si="30"/>
        <v>0.73027266839631366</v>
      </c>
    </row>
    <row r="243" spans="23:28" x14ac:dyDescent="0.3">
      <c r="W243">
        <f t="shared" si="28"/>
        <v>1.1521461796584274</v>
      </c>
      <c r="Z243">
        <f t="shared" si="29"/>
        <v>11</v>
      </c>
      <c r="AA243">
        <f t="shared" si="27"/>
        <v>6.1705050029197963</v>
      </c>
      <c r="AB243">
        <f t="shared" si="30"/>
        <v>0.7101552774493437</v>
      </c>
    </row>
    <row r="244" spans="23:28" x14ac:dyDescent="0.3">
      <c r="W244">
        <f t="shared" si="28"/>
        <v>1.157464405515152</v>
      </c>
      <c r="Z244">
        <f t="shared" si="29"/>
        <v>11</v>
      </c>
      <c r="AA244">
        <f t="shared" si="27"/>
        <v>6.1651867770630711</v>
      </c>
      <c r="AB244">
        <f t="shared" si="30"/>
        <v>0.69122254011085482</v>
      </c>
    </row>
    <row r="245" spans="23:28" x14ac:dyDescent="0.3">
      <c r="W245">
        <f t="shared" si="28"/>
        <v>1.167916082410517</v>
      </c>
      <c r="Z245">
        <f t="shared" si="29"/>
        <v>11</v>
      </c>
      <c r="AA245">
        <f t="shared" si="27"/>
        <v>6.1547351001677058</v>
      </c>
      <c r="AB245">
        <f t="shared" si="30"/>
        <v>0.66499411019811316</v>
      </c>
    </row>
    <row r="246" spans="23:28" x14ac:dyDescent="0.3">
      <c r="W246">
        <f t="shared" si="28"/>
        <v>1.183100589395595</v>
      </c>
      <c r="Z246">
        <f t="shared" si="29"/>
        <v>11</v>
      </c>
      <c r="AA246">
        <f t="shared" si="27"/>
        <v>6.1395505931826282</v>
      </c>
      <c r="AB246">
        <f t="shared" si="30"/>
        <v>0.63909697400592513</v>
      </c>
    </row>
    <row r="247" spans="23:28" x14ac:dyDescent="0.3">
      <c r="W247">
        <f t="shared" si="28"/>
        <v>1.2109069376156516</v>
      </c>
      <c r="Z247">
        <f t="shared" si="29"/>
        <v>11</v>
      </c>
      <c r="AA247">
        <f t="shared" si="27"/>
        <v>6.1117442449625718</v>
      </c>
      <c r="AB247">
        <f t="shared" si="30"/>
        <v>0.60781973946339873</v>
      </c>
    </row>
    <row r="248" spans="23:28" x14ac:dyDescent="0.3">
      <c r="W248">
        <f t="shared" si="28"/>
        <v>1.2551481159424072</v>
      </c>
      <c r="Z248">
        <f t="shared" si="29"/>
        <v>11</v>
      </c>
      <c r="AA248">
        <f t="shared" si="27"/>
        <v>6.0675030666358163</v>
      </c>
      <c r="AB248">
        <f t="shared" si="30"/>
        <v>0.57612627611480016</v>
      </c>
    </row>
    <row r="249" spans="23:28" x14ac:dyDescent="0.3">
      <c r="W249">
        <f t="shared" si="28"/>
        <v>1.338434015864528</v>
      </c>
      <c r="Z249">
        <f t="shared" si="29"/>
        <v>11</v>
      </c>
      <c r="AA249">
        <f t="shared" ref="AA249:AA312" si="31">$AA$55-(Z249-1)*$X$51-W249</f>
        <v>5.9842171667136954</v>
      </c>
      <c r="AB249">
        <f t="shared" si="30"/>
        <v>0.53973940308666546</v>
      </c>
    </row>
    <row r="250" spans="23:28" x14ac:dyDescent="0.3">
      <c r="W250">
        <f t="shared" si="28"/>
        <v>1.4752504388228256</v>
      </c>
      <c r="Z250">
        <f t="shared" si="29"/>
        <v>11</v>
      </c>
      <c r="AA250">
        <f t="shared" si="31"/>
        <v>5.8474007437553972</v>
      </c>
      <c r="AB250">
        <f t="shared" si="30"/>
        <v>0.50459598065778399</v>
      </c>
    </row>
    <row r="251" spans="23:28" x14ac:dyDescent="0.3">
      <c r="W251">
        <f t="shared" si="28"/>
        <v>1.7500498409303191</v>
      </c>
      <c r="Z251">
        <f t="shared" si="29"/>
        <v>11</v>
      </c>
      <c r="AA251">
        <f t="shared" si="31"/>
        <v>5.5726013416479043</v>
      </c>
      <c r="AB251">
        <f t="shared" si="30"/>
        <v>0.4654409702187336</v>
      </c>
    </row>
    <row r="252" spans="23:28" x14ac:dyDescent="0.3">
      <c r="W252">
        <f t="shared" si="28"/>
        <v>2.1966564988861639</v>
      </c>
      <c r="Z252">
        <f t="shared" si="29"/>
        <v>11</v>
      </c>
      <c r="AA252">
        <f t="shared" si="31"/>
        <v>5.1259946836920598</v>
      </c>
      <c r="AB252">
        <f t="shared" si="30"/>
        <v>0.43134659976949657</v>
      </c>
    </row>
    <row r="253" spans="23:28" x14ac:dyDescent="0.3">
      <c r="W253">
        <f t="shared" si="28"/>
        <v>2.2783011649994576</v>
      </c>
      <c r="Z253">
        <f t="shared" si="29"/>
        <v>11</v>
      </c>
      <c r="AA253">
        <f t="shared" si="31"/>
        <v>5.0443500175787657</v>
      </c>
      <c r="AB253">
        <f t="shared" si="30"/>
        <v>0.42690955700104</v>
      </c>
    </row>
    <row r="254" spans="23:28" x14ac:dyDescent="0.3">
      <c r="W254">
        <f t="shared" si="28"/>
        <v>0</v>
      </c>
      <c r="Z254">
        <f t="shared" si="29"/>
        <v>12</v>
      </c>
      <c r="AA254">
        <f t="shared" si="31"/>
        <v>5.0443500175787683</v>
      </c>
      <c r="AB254">
        <f t="shared" si="30"/>
        <v>0.77145643900915783</v>
      </c>
    </row>
    <row r="255" spans="23:28" x14ac:dyDescent="0.3">
      <c r="W255">
        <f t="shared" si="28"/>
        <v>1.1429999999999998</v>
      </c>
      <c r="Z255">
        <f t="shared" si="29"/>
        <v>12</v>
      </c>
      <c r="AA255">
        <f t="shared" si="31"/>
        <v>3.9013500175787685</v>
      </c>
      <c r="AB255">
        <f t="shared" si="30"/>
        <v>0.77145643900915783</v>
      </c>
    </row>
    <row r="256" spans="23:28" x14ac:dyDescent="0.3">
      <c r="W256">
        <f t="shared" si="28"/>
        <v>1.1429999999999998</v>
      </c>
      <c r="Z256">
        <f t="shared" si="29"/>
        <v>12</v>
      </c>
      <c r="AA256">
        <f t="shared" si="31"/>
        <v>3.9013500175787685</v>
      </c>
      <c r="AB256">
        <f t="shared" si="30"/>
        <v>0.77068498257014872</v>
      </c>
    </row>
    <row r="257" spans="23:28" x14ac:dyDescent="0.3">
      <c r="W257">
        <f t="shared" si="28"/>
        <v>1.1430009999999997</v>
      </c>
      <c r="Z257">
        <f t="shared" si="29"/>
        <v>12</v>
      </c>
      <c r="AA257">
        <f t="shared" si="31"/>
        <v>3.9013490175787684</v>
      </c>
      <c r="AB257">
        <f t="shared" si="30"/>
        <v>0.77067300983892906</v>
      </c>
    </row>
    <row r="258" spans="23:28" x14ac:dyDescent="0.3">
      <c r="W258">
        <f t="shared" si="28"/>
        <v>1.1435498904157428</v>
      </c>
      <c r="Z258">
        <f t="shared" si="29"/>
        <v>12</v>
      </c>
      <c r="AA258">
        <f t="shared" si="31"/>
        <v>3.9008001271630253</v>
      </c>
      <c r="AB258">
        <f t="shared" si="30"/>
        <v>0.76448695437332481</v>
      </c>
    </row>
    <row r="259" spans="23:28" x14ac:dyDescent="0.3">
      <c r="W259">
        <f t="shared" si="28"/>
        <v>1.1455954702393722</v>
      </c>
      <c r="Z259">
        <f t="shared" si="29"/>
        <v>12</v>
      </c>
      <c r="AA259">
        <f t="shared" si="31"/>
        <v>3.8987545473393963</v>
      </c>
      <c r="AB259">
        <f t="shared" si="30"/>
        <v>0.7462179928210797</v>
      </c>
    </row>
    <row r="260" spans="23:28" x14ac:dyDescent="0.3">
      <c r="W260">
        <f t="shared" si="28"/>
        <v>1.1480120980280246</v>
      </c>
      <c r="Z260">
        <f t="shared" si="29"/>
        <v>12</v>
      </c>
      <c r="AA260">
        <f t="shared" si="31"/>
        <v>3.8963379195507439</v>
      </c>
      <c r="AB260">
        <f t="shared" si="30"/>
        <v>0.73027266839631366</v>
      </c>
    </row>
    <row r="261" spans="23:28" x14ac:dyDescent="0.3">
      <c r="W261">
        <f t="shared" si="28"/>
        <v>1.1521461796584274</v>
      </c>
      <c r="Z261">
        <f t="shared" si="29"/>
        <v>12</v>
      </c>
      <c r="AA261">
        <f t="shared" si="31"/>
        <v>3.892203837920341</v>
      </c>
      <c r="AB261">
        <f t="shared" si="30"/>
        <v>0.7101552774493437</v>
      </c>
    </row>
    <row r="262" spans="23:28" x14ac:dyDescent="0.3">
      <c r="W262">
        <f t="shared" si="28"/>
        <v>1.157464405515152</v>
      </c>
      <c r="Z262">
        <f t="shared" si="29"/>
        <v>12</v>
      </c>
      <c r="AA262">
        <f t="shared" si="31"/>
        <v>3.8868856120636162</v>
      </c>
      <c r="AB262">
        <f t="shared" si="30"/>
        <v>0.69122254011085482</v>
      </c>
    </row>
    <row r="263" spans="23:28" x14ac:dyDescent="0.3">
      <c r="W263">
        <f t="shared" si="28"/>
        <v>1.167916082410517</v>
      </c>
      <c r="Z263">
        <f t="shared" si="29"/>
        <v>12</v>
      </c>
      <c r="AA263">
        <f t="shared" si="31"/>
        <v>3.8764339351682513</v>
      </c>
      <c r="AB263">
        <f t="shared" si="30"/>
        <v>0.66499411019811316</v>
      </c>
    </row>
    <row r="264" spans="23:28" x14ac:dyDescent="0.3">
      <c r="W264">
        <f t="shared" si="28"/>
        <v>1.183100589395595</v>
      </c>
      <c r="Z264">
        <f t="shared" si="29"/>
        <v>12</v>
      </c>
      <c r="AA264">
        <f t="shared" si="31"/>
        <v>3.8612494281831733</v>
      </c>
      <c r="AB264">
        <f t="shared" si="30"/>
        <v>0.63909697400592513</v>
      </c>
    </row>
    <row r="265" spans="23:28" x14ac:dyDescent="0.3">
      <c r="W265">
        <f t="shared" si="28"/>
        <v>1.2109069376156516</v>
      </c>
      <c r="Z265">
        <f t="shared" si="29"/>
        <v>12</v>
      </c>
      <c r="AA265">
        <f t="shared" si="31"/>
        <v>3.833443079963117</v>
      </c>
      <c r="AB265">
        <f t="shared" si="30"/>
        <v>0.60781973946339873</v>
      </c>
    </row>
    <row r="266" spans="23:28" x14ac:dyDescent="0.3">
      <c r="W266">
        <f t="shared" si="28"/>
        <v>1.2551481159424072</v>
      </c>
      <c r="Z266">
        <f t="shared" si="29"/>
        <v>12</v>
      </c>
      <c r="AA266">
        <f t="shared" si="31"/>
        <v>3.7892019016363614</v>
      </c>
      <c r="AB266">
        <f t="shared" si="30"/>
        <v>0.57612627611480016</v>
      </c>
    </row>
    <row r="267" spans="23:28" x14ac:dyDescent="0.3">
      <c r="W267">
        <f t="shared" ref="W267:W330" si="32">W249</f>
        <v>1.338434015864528</v>
      </c>
      <c r="Z267">
        <f t="shared" ref="Z267:Z330" si="33">Z249+1</f>
        <v>12</v>
      </c>
      <c r="AA267">
        <f t="shared" si="31"/>
        <v>3.7059160017142405</v>
      </c>
      <c r="AB267">
        <f t="shared" ref="AB267:AB330" si="34">AB249</f>
        <v>0.53973940308666546</v>
      </c>
    </row>
    <row r="268" spans="23:28" x14ac:dyDescent="0.3">
      <c r="W268">
        <f t="shared" si="32"/>
        <v>1.4752504388228256</v>
      </c>
      <c r="Z268">
        <f t="shared" si="33"/>
        <v>12</v>
      </c>
      <c r="AA268">
        <f t="shared" si="31"/>
        <v>3.5690995787559427</v>
      </c>
      <c r="AB268">
        <f t="shared" si="34"/>
        <v>0.50459598065778399</v>
      </c>
    </row>
    <row r="269" spans="23:28" x14ac:dyDescent="0.3">
      <c r="W269">
        <f t="shared" si="32"/>
        <v>1.7500498409303191</v>
      </c>
      <c r="Z269">
        <f t="shared" si="33"/>
        <v>12</v>
      </c>
      <c r="AA269">
        <f t="shared" si="31"/>
        <v>3.2943001766484494</v>
      </c>
      <c r="AB269">
        <f t="shared" si="34"/>
        <v>0.4654409702187336</v>
      </c>
    </row>
    <row r="270" spans="23:28" x14ac:dyDescent="0.3">
      <c r="W270">
        <f t="shared" si="32"/>
        <v>2.1966564988861639</v>
      </c>
      <c r="Z270">
        <f t="shared" si="33"/>
        <v>12</v>
      </c>
      <c r="AA270">
        <f t="shared" si="31"/>
        <v>2.8476935186926045</v>
      </c>
      <c r="AB270">
        <f t="shared" si="34"/>
        <v>0.43134659976949657</v>
      </c>
    </row>
    <row r="271" spans="23:28" x14ac:dyDescent="0.3">
      <c r="W271">
        <f t="shared" si="32"/>
        <v>2.2783011649994576</v>
      </c>
      <c r="Z271">
        <f t="shared" si="33"/>
        <v>12</v>
      </c>
      <c r="AA271">
        <f t="shared" si="31"/>
        <v>2.7660488525793108</v>
      </c>
      <c r="AB271">
        <f t="shared" si="34"/>
        <v>0.42690955700104</v>
      </c>
    </row>
    <row r="272" spans="23:28" x14ac:dyDescent="0.3">
      <c r="W272">
        <f t="shared" si="32"/>
        <v>0</v>
      </c>
      <c r="Z272">
        <f t="shared" si="33"/>
        <v>13</v>
      </c>
      <c r="AA272">
        <f t="shared" si="31"/>
        <v>2.7660488525793099</v>
      </c>
      <c r="AB272">
        <f t="shared" si="34"/>
        <v>0.77145643900915783</v>
      </c>
    </row>
    <row r="273" spans="23:28" x14ac:dyDescent="0.3">
      <c r="W273">
        <f t="shared" si="32"/>
        <v>1.1429999999999998</v>
      </c>
      <c r="Z273">
        <f t="shared" si="33"/>
        <v>13</v>
      </c>
      <c r="AA273">
        <f t="shared" si="31"/>
        <v>1.6230488525793101</v>
      </c>
      <c r="AB273">
        <f t="shared" si="34"/>
        <v>0.77145643900915783</v>
      </c>
    </row>
    <row r="274" spans="23:28" x14ac:dyDescent="0.3">
      <c r="W274">
        <f t="shared" si="32"/>
        <v>1.1429999999999998</v>
      </c>
      <c r="Z274">
        <f t="shared" si="33"/>
        <v>13</v>
      </c>
      <c r="AA274">
        <f t="shared" si="31"/>
        <v>1.6230488525793101</v>
      </c>
      <c r="AB274">
        <f t="shared" si="34"/>
        <v>0.77068498257014872</v>
      </c>
    </row>
    <row r="275" spans="23:28" x14ac:dyDescent="0.3">
      <c r="W275">
        <f t="shared" si="32"/>
        <v>1.1430009999999997</v>
      </c>
      <c r="Z275">
        <f t="shared" si="33"/>
        <v>13</v>
      </c>
      <c r="AA275">
        <f t="shared" si="31"/>
        <v>1.6230478525793102</v>
      </c>
      <c r="AB275">
        <f t="shared" si="34"/>
        <v>0.77067300983892906</v>
      </c>
    </row>
    <row r="276" spans="23:28" x14ac:dyDescent="0.3">
      <c r="W276">
        <f t="shared" si="32"/>
        <v>1.1435498904157428</v>
      </c>
      <c r="Z276">
        <f t="shared" si="33"/>
        <v>13</v>
      </c>
      <c r="AA276">
        <f t="shared" si="31"/>
        <v>1.622498962163567</v>
      </c>
      <c r="AB276">
        <f t="shared" si="34"/>
        <v>0.76448695437332481</v>
      </c>
    </row>
    <row r="277" spans="23:28" x14ac:dyDescent="0.3">
      <c r="W277">
        <f t="shared" si="32"/>
        <v>1.1455954702393722</v>
      </c>
      <c r="Z277">
        <f t="shared" si="33"/>
        <v>13</v>
      </c>
      <c r="AA277">
        <f t="shared" si="31"/>
        <v>1.6204533823399376</v>
      </c>
      <c r="AB277">
        <f t="shared" si="34"/>
        <v>0.7462179928210797</v>
      </c>
    </row>
    <row r="278" spans="23:28" x14ac:dyDescent="0.3">
      <c r="W278">
        <f t="shared" si="32"/>
        <v>1.1480120980280246</v>
      </c>
      <c r="Z278">
        <f t="shared" si="33"/>
        <v>13</v>
      </c>
      <c r="AA278">
        <f t="shared" si="31"/>
        <v>1.6180367545512853</v>
      </c>
      <c r="AB278">
        <f t="shared" si="34"/>
        <v>0.73027266839631366</v>
      </c>
    </row>
    <row r="279" spans="23:28" x14ac:dyDescent="0.3">
      <c r="W279">
        <f t="shared" si="32"/>
        <v>1.1521461796584274</v>
      </c>
      <c r="Z279">
        <f t="shared" si="33"/>
        <v>13</v>
      </c>
      <c r="AA279">
        <f t="shared" si="31"/>
        <v>1.6139026729208825</v>
      </c>
      <c r="AB279">
        <f t="shared" si="34"/>
        <v>0.7101552774493437</v>
      </c>
    </row>
    <row r="280" spans="23:28" x14ac:dyDescent="0.3">
      <c r="W280">
        <f t="shared" si="32"/>
        <v>1.157464405515152</v>
      </c>
      <c r="Z280">
        <f t="shared" si="33"/>
        <v>13</v>
      </c>
      <c r="AA280">
        <f t="shared" si="31"/>
        <v>1.6085844470641579</v>
      </c>
      <c r="AB280">
        <f t="shared" si="34"/>
        <v>0.69122254011085482</v>
      </c>
    </row>
    <row r="281" spans="23:28" x14ac:dyDescent="0.3">
      <c r="W281">
        <f t="shared" si="32"/>
        <v>1.167916082410517</v>
      </c>
      <c r="Z281">
        <f t="shared" si="33"/>
        <v>13</v>
      </c>
      <c r="AA281">
        <f t="shared" si="31"/>
        <v>1.5981327701687928</v>
      </c>
      <c r="AB281">
        <f t="shared" si="34"/>
        <v>0.66499411019811316</v>
      </c>
    </row>
    <row r="282" spans="23:28" x14ac:dyDescent="0.3">
      <c r="W282">
        <f t="shared" si="32"/>
        <v>1.183100589395595</v>
      </c>
      <c r="Z282">
        <f t="shared" si="33"/>
        <v>13</v>
      </c>
      <c r="AA282">
        <f t="shared" si="31"/>
        <v>1.5829482631837148</v>
      </c>
      <c r="AB282">
        <f t="shared" si="34"/>
        <v>0.63909697400592513</v>
      </c>
    </row>
    <row r="283" spans="23:28" x14ac:dyDescent="0.3">
      <c r="W283">
        <f t="shared" si="32"/>
        <v>1.2109069376156516</v>
      </c>
      <c r="Z283">
        <f t="shared" si="33"/>
        <v>13</v>
      </c>
      <c r="AA283">
        <f t="shared" si="31"/>
        <v>1.5551419149636583</v>
      </c>
      <c r="AB283">
        <f t="shared" si="34"/>
        <v>0.60781973946339873</v>
      </c>
    </row>
    <row r="284" spans="23:28" x14ac:dyDescent="0.3">
      <c r="W284">
        <f t="shared" si="32"/>
        <v>1.2551481159424072</v>
      </c>
      <c r="Z284">
        <f t="shared" si="33"/>
        <v>13</v>
      </c>
      <c r="AA284">
        <f t="shared" si="31"/>
        <v>1.5109007366369027</v>
      </c>
      <c r="AB284">
        <f t="shared" si="34"/>
        <v>0.57612627611480016</v>
      </c>
    </row>
    <row r="285" spans="23:28" x14ac:dyDescent="0.3">
      <c r="W285">
        <f t="shared" si="32"/>
        <v>1.338434015864528</v>
      </c>
      <c r="Z285">
        <f t="shared" si="33"/>
        <v>13</v>
      </c>
      <c r="AA285">
        <f t="shared" si="31"/>
        <v>1.4276148367147818</v>
      </c>
      <c r="AB285">
        <f t="shared" si="34"/>
        <v>0.53973940308666546</v>
      </c>
    </row>
    <row r="286" spans="23:28" x14ac:dyDescent="0.3">
      <c r="W286">
        <f t="shared" si="32"/>
        <v>1.4752504388228256</v>
      </c>
      <c r="Z286">
        <f t="shared" si="33"/>
        <v>13</v>
      </c>
      <c r="AA286">
        <f t="shared" si="31"/>
        <v>1.2907984137564843</v>
      </c>
      <c r="AB286">
        <f t="shared" si="34"/>
        <v>0.50459598065778399</v>
      </c>
    </row>
    <row r="287" spans="23:28" x14ac:dyDescent="0.3">
      <c r="W287">
        <f t="shared" si="32"/>
        <v>1.7500498409303191</v>
      </c>
      <c r="Z287">
        <f t="shared" si="33"/>
        <v>13</v>
      </c>
      <c r="AA287">
        <f t="shared" si="31"/>
        <v>1.0159990116489908</v>
      </c>
      <c r="AB287">
        <f t="shared" si="34"/>
        <v>0.4654409702187336</v>
      </c>
    </row>
    <row r="288" spans="23:28" x14ac:dyDescent="0.3">
      <c r="W288">
        <f t="shared" si="32"/>
        <v>2.1966564988861639</v>
      </c>
      <c r="Z288">
        <f t="shared" si="33"/>
        <v>13</v>
      </c>
      <c r="AA288">
        <f t="shared" si="31"/>
        <v>0.569392353693146</v>
      </c>
      <c r="AB288">
        <f t="shared" si="34"/>
        <v>0.43134659976949657</v>
      </c>
    </row>
    <row r="289" spans="23:28" x14ac:dyDescent="0.3">
      <c r="W289">
        <f t="shared" si="32"/>
        <v>2.2783011649994576</v>
      </c>
      <c r="Z289">
        <f t="shared" si="33"/>
        <v>13</v>
      </c>
      <c r="AA289">
        <f t="shared" si="31"/>
        <v>0.48774768757985232</v>
      </c>
      <c r="AB289">
        <f t="shared" si="34"/>
        <v>0.42690955700104</v>
      </c>
    </row>
    <row r="290" spans="23:28" x14ac:dyDescent="0.3">
      <c r="W290">
        <f t="shared" si="32"/>
        <v>0</v>
      </c>
      <c r="Z290">
        <f t="shared" si="33"/>
        <v>14</v>
      </c>
      <c r="AA290">
        <f t="shared" si="31"/>
        <v>0.48774768757985143</v>
      </c>
      <c r="AB290">
        <f t="shared" si="34"/>
        <v>0.77145643900915783</v>
      </c>
    </row>
    <row r="291" spans="23:28" x14ac:dyDescent="0.3">
      <c r="W291">
        <f t="shared" si="32"/>
        <v>1.1429999999999998</v>
      </c>
      <c r="Z291">
        <f t="shared" si="33"/>
        <v>14</v>
      </c>
      <c r="AA291">
        <f t="shared" si="31"/>
        <v>-0.65525231242014836</v>
      </c>
      <c r="AB291">
        <f t="shared" si="34"/>
        <v>0.77145643900915783</v>
      </c>
    </row>
    <row r="292" spans="23:28" x14ac:dyDescent="0.3">
      <c r="W292">
        <f t="shared" si="32"/>
        <v>1.1429999999999998</v>
      </c>
      <c r="Z292">
        <f t="shared" si="33"/>
        <v>14</v>
      </c>
      <c r="AA292">
        <f t="shared" si="31"/>
        <v>-0.65525231242014836</v>
      </c>
      <c r="AB292">
        <f t="shared" si="34"/>
        <v>0.77068498257014872</v>
      </c>
    </row>
    <row r="293" spans="23:28" x14ac:dyDescent="0.3">
      <c r="W293">
        <f t="shared" si="32"/>
        <v>1.1430009999999997</v>
      </c>
      <c r="Z293">
        <f t="shared" si="33"/>
        <v>14</v>
      </c>
      <c r="AA293">
        <f t="shared" si="31"/>
        <v>-0.65525331242014828</v>
      </c>
      <c r="AB293">
        <f t="shared" si="34"/>
        <v>0.77067300983892906</v>
      </c>
    </row>
    <row r="294" spans="23:28" x14ac:dyDescent="0.3">
      <c r="W294">
        <f t="shared" si="32"/>
        <v>1.1435498904157428</v>
      </c>
      <c r="Z294">
        <f t="shared" si="33"/>
        <v>14</v>
      </c>
      <c r="AA294">
        <f t="shared" si="31"/>
        <v>-0.65580220283589141</v>
      </c>
      <c r="AB294">
        <f t="shared" si="34"/>
        <v>0.76448695437332481</v>
      </c>
    </row>
    <row r="295" spans="23:28" x14ac:dyDescent="0.3">
      <c r="W295">
        <f t="shared" si="32"/>
        <v>1.1455954702393722</v>
      </c>
      <c r="Z295">
        <f t="shared" si="33"/>
        <v>14</v>
      </c>
      <c r="AA295">
        <f t="shared" si="31"/>
        <v>-0.65784778265952082</v>
      </c>
      <c r="AB295">
        <f t="shared" si="34"/>
        <v>0.7462179928210797</v>
      </c>
    </row>
    <row r="296" spans="23:28" x14ac:dyDescent="0.3">
      <c r="W296">
        <f t="shared" si="32"/>
        <v>1.1480120980280246</v>
      </c>
      <c r="Z296">
        <f t="shared" si="33"/>
        <v>14</v>
      </c>
      <c r="AA296">
        <f t="shared" si="31"/>
        <v>-0.66026441044817319</v>
      </c>
      <c r="AB296">
        <f t="shared" si="34"/>
        <v>0.73027266839631366</v>
      </c>
    </row>
    <row r="297" spans="23:28" x14ac:dyDescent="0.3">
      <c r="W297">
        <f t="shared" si="32"/>
        <v>1.1521461796584274</v>
      </c>
      <c r="Z297">
        <f t="shared" si="33"/>
        <v>14</v>
      </c>
      <c r="AA297">
        <f t="shared" si="31"/>
        <v>-0.66439849207857593</v>
      </c>
      <c r="AB297">
        <f t="shared" si="34"/>
        <v>0.7101552774493437</v>
      </c>
    </row>
    <row r="298" spans="23:28" x14ac:dyDescent="0.3">
      <c r="W298">
        <f t="shared" si="32"/>
        <v>1.157464405515152</v>
      </c>
      <c r="Z298">
        <f t="shared" si="33"/>
        <v>14</v>
      </c>
      <c r="AA298">
        <f t="shared" si="31"/>
        <v>-0.66971671793530052</v>
      </c>
      <c r="AB298">
        <f t="shared" si="34"/>
        <v>0.69122254011085482</v>
      </c>
    </row>
    <row r="299" spans="23:28" x14ac:dyDescent="0.3">
      <c r="W299">
        <f t="shared" si="32"/>
        <v>1.167916082410517</v>
      </c>
      <c r="Z299">
        <f t="shared" si="33"/>
        <v>14</v>
      </c>
      <c r="AA299">
        <f t="shared" si="31"/>
        <v>-0.6801683948306656</v>
      </c>
      <c r="AB299">
        <f t="shared" si="34"/>
        <v>0.66499411019811316</v>
      </c>
    </row>
    <row r="300" spans="23:28" x14ac:dyDescent="0.3">
      <c r="W300">
        <f t="shared" si="32"/>
        <v>1.183100589395595</v>
      </c>
      <c r="Z300">
        <f t="shared" si="33"/>
        <v>14</v>
      </c>
      <c r="AA300">
        <f t="shared" si="31"/>
        <v>-0.69535290181574361</v>
      </c>
      <c r="AB300">
        <f t="shared" si="34"/>
        <v>0.63909697400592513</v>
      </c>
    </row>
    <row r="301" spans="23:28" x14ac:dyDescent="0.3">
      <c r="W301">
        <f t="shared" si="32"/>
        <v>1.2109069376156516</v>
      </c>
      <c r="Z301">
        <f t="shared" si="33"/>
        <v>14</v>
      </c>
      <c r="AA301">
        <f t="shared" si="31"/>
        <v>-0.72315925003580017</v>
      </c>
      <c r="AB301">
        <f t="shared" si="34"/>
        <v>0.60781973946339873</v>
      </c>
    </row>
    <row r="302" spans="23:28" x14ac:dyDescent="0.3">
      <c r="W302">
        <f t="shared" si="32"/>
        <v>1.2551481159424072</v>
      </c>
      <c r="Z302">
        <f t="shared" si="33"/>
        <v>14</v>
      </c>
      <c r="AA302">
        <f t="shared" si="31"/>
        <v>-0.76740042836255573</v>
      </c>
      <c r="AB302">
        <f t="shared" si="34"/>
        <v>0.57612627611480016</v>
      </c>
    </row>
    <row r="303" spans="23:28" x14ac:dyDescent="0.3">
      <c r="W303">
        <f t="shared" si="32"/>
        <v>1.338434015864528</v>
      </c>
      <c r="Z303">
        <f t="shared" si="33"/>
        <v>14</v>
      </c>
      <c r="AA303">
        <f t="shared" si="31"/>
        <v>-0.85068632828467661</v>
      </c>
      <c r="AB303">
        <f t="shared" si="34"/>
        <v>0.53973940308666546</v>
      </c>
    </row>
    <row r="304" spans="23:28" x14ac:dyDescent="0.3">
      <c r="W304">
        <f t="shared" si="32"/>
        <v>1.4752504388228256</v>
      </c>
      <c r="Z304">
        <f t="shared" si="33"/>
        <v>14</v>
      </c>
      <c r="AA304">
        <f t="shared" si="31"/>
        <v>-0.98750275124297415</v>
      </c>
      <c r="AB304">
        <f t="shared" si="34"/>
        <v>0.50459598065778399</v>
      </c>
    </row>
    <row r="305" spans="23:28" x14ac:dyDescent="0.3">
      <c r="W305">
        <f t="shared" si="32"/>
        <v>1.7500498409303191</v>
      </c>
      <c r="Z305">
        <f t="shared" si="33"/>
        <v>14</v>
      </c>
      <c r="AA305">
        <f t="shared" si="31"/>
        <v>-1.2623021533504677</v>
      </c>
      <c r="AB305">
        <f t="shared" si="34"/>
        <v>0.4654409702187336</v>
      </c>
    </row>
    <row r="306" spans="23:28" x14ac:dyDescent="0.3">
      <c r="W306">
        <f t="shared" si="32"/>
        <v>2.1966564988861639</v>
      </c>
      <c r="Z306">
        <f t="shared" si="33"/>
        <v>14</v>
      </c>
      <c r="AA306">
        <f t="shared" si="31"/>
        <v>-1.7089088113063124</v>
      </c>
      <c r="AB306">
        <f t="shared" si="34"/>
        <v>0.43134659976949657</v>
      </c>
    </row>
    <row r="307" spans="23:28" x14ac:dyDescent="0.3">
      <c r="W307">
        <f t="shared" si="32"/>
        <v>2.2783011649994576</v>
      </c>
      <c r="Z307">
        <f t="shared" si="33"/>
        <v>14</v>
      </c>
      <c r="AA307">
        <f t="shared" si="31"/>
        <v>-1.7905534774196061</v>
      </c>
      <c r="AB307">
        <f t="shared" si="34"/>
        <v>0.42690955700104</v>
      </c>
    </row>
    <row r="308" spans="23:28" x14ac:dyDescent="0.3">
      <c r="W308">
        <f t="shared" si="32"/>
        <v>0</v>
      </c>
      <c r="Z308">
        <f t="shared" si="33"/>
        <v>15</v>
      </c>
      <c r="AA308">
        <f t="shared" si="31"/>
        <v>-1.7905534774196035</v>
      </c>
      <c r="AB308">
        <f t="shared" si="34"/>
        <v>0.77145643900915783</v>
      </c>
    </row>
    <row r="309" spans="23:28" x14ac:dyDescent="0.3">
      <c r="W309">
        <f t="shared" si="32"/>
        <v>1.1429999999999998</v>
      </c>
      <c r="Z309">
        <f t="shared" si="33"/>
        <v>15</v>
      </c>
      <c r="AA309">
        <f t="shared" si="31"/>
        <v>-2.9335534774196033</v>
      </c>
      <c r="AB309">
        <f t="shared" si="34"/>
        <v>0.77145643900915783</v>
      </c>
    </row>
    <row r="310" spans="23:28" x14ac:dyDescent="0.3">
      <c r="W310">
        <f t="shared" si="32"/>
        <v>1.1429999999999998</v>
      </c>
      <c r="Z310">
        <f t="shared" si="33"/>
        <v>15</v>
      </c>
      <c r="AA310">
        <f t="shared" si="31"/>
        <v>-2.9335534774196033</v>
      </c>
      <c r="AB310">
        <f t="shared" si="34"/>
        <v>0.77068498257014872</v>
      </c>
    </row>
    <row r="311" spans="23:28" x14ac:dyDescent="0.3">
      <c r="W311">
        <f t="shared" si="32"/>
        <v>1.1430009999999997</v>
      </c>
      <c r="Z311">
        <f t="shared" si="33"/>
        <v>15</v>
      </c>
      <c r="AA311">
        <f t="shared" si="31"/>
        <v>-2.9335544774196034</v>
      </c>
      <c r="AB311">
        <f t="shared" si="34"/>
        <v>0.77067300983892906</v>
      </c>
    </row>
    <row r="312" spans="23:28" x14ac:dyDescent="0.3">
      <c r="W312">
        <f t="shared" si="32"/>
        <v>1.1435498904157428</v>
      </c>
      <c r="Z312">
        <f t="shared" si="33"/>
        <v>15</v>
      </c>
      <c r="AA312">
        <f t="shared" si="31"/>
        <v>-2.9341033678353465</v>
      </c>
      <c r="AB312">
        <f t="shared" si="34"/>
        <v>0.76448695437332481</v>
      </c>
    </row>
    <row r="313" spans="23:28" x14ac:dyDescent="0.3">
      <c r="W313">
        <f t="shared" si="32"/>
        <v>1.1455954702393722</v>
      </c>
      <c r="Z313">
        <f t="shared" si="33"/>
        <v>15</v>
      </c>
      <c r="AA313">
        <f t="shared" ref="AA313:AA376" si="35">$AA$55-(Z313-1)*$X$51-W313</f>
        <v>-2.9361489476589755</v>
      </c>
      <c r="AB313">
        <f t="shared" si="34"/>
        <v>0.7462179928210797</v>
      </c>
    </row>
    <row r="314" spans="23:28" x14ac:dyDescent="0.3">
      <c r="W314">
        <f t="shared" si="32"/>
        <v>1.1480120980280246</v>
      </c>
      <c r="Z314">
        <f t="shared" si="33"/>
        <v>15</v>
      </c>
      <c r="AA314">
        <f t="shared" si="35"/>
        <v>-2.9385655754476279</v>
      </c>
      <c r="AB314">
        <f t="shared" si="34"/>
        <v>0.73027266839631366</v>
      </c>
    </row>
    <row r="315" spans="23:28" x14ac:dyDescent="0.3">
      <c r="W315">
        <f t="shared" si="32"/>
        <v>1.1521461796584274</v>
      </c>
      <c r="Z315">
        <f t="shared" si="33"/>
        <v>15</v>
      </c>
      <c r="AA315">
        <f t="shared" si="35"/>
        <v>-2.9426996570780308</v>
      </c>
      <c r="AB315">
        <f t="shared" si="34"/>
        <v>0.7101552774493437</v>
      </c>
    </row>
    <row r="316" spans="23:28" x14ac:dyDescent="0.3">
      <c r="W316">
        <f t="shared" si="32"/>
        <v>1.157464405515152</v>
      </c>
      <c r="Z316">
        <f t="shared" si="33"/>
        <v>15</v>
      </c>
      <c r="AA316">
        <f t="shared" si="35"/>
        <v>-2.9480178829347556</v>
      </c>
      <c r="AB316">
        <f t="shared" si="34"/>
        <v>0.69122254011085482</v>
      </c>
    </row>
    <row r="317" spans="23:28" x14ac:dyDescent="0.3">
      <c r="W317">
        <f t="shared" si="32"/>
        <v>1.167916082410517</v>
      </c>
      <c r="Z317">
        <f t="shared" si="33"/>
        <v>15</v>
      </c>
      <c r="AA317">
        <f t="shared" si="35"/>
        <v>-2.9584695598301205</v>
      </c>
      <c r="AB317">
        <f t="shared" si="34"/>
        <v>0.66499411019811316</v>
      </c>
    </row>
    <row r="318" spans="23:28" x14ac:dyDescent="0.3">
      <c r="W318">
        <f t="shared" si="32"/>
        <v>1.183100589395595</v>
      </c>
      <c r="Z318">
        <f t="shared" si="33"/>
        <v>15</v>
      </c>
      <c r="AA318">
        <f t="shared" si="35"/>
        <v>-2.9736540668151985</v>
      </c>
      <c r="AB318">
        <f t="shared" si="34"/>
        <v>0.63909697400592513</v>
      </c>
    </row>
    <row r="319" spans="23:28" x14ac:dyDescent="0.3">
      <c r="W319">
        <f t="shared" si="32"/>
        <v>1.2109069376156516</v>
      </c>
      <c r="Z319">
        <f t="shared" si="33"/>
        <v>15</v>
      </c>
      <c r="AA319">
        <f t="shared" si="35"/>
        <v>-3.0014604150352548</v>
      </c>
      <c r="AB319">
        <f t="shared" si="34"/>
        <v>0.60781973946339873</v>
      </c>
    </row>
    <row r="320" spans="23:28" x14ac:dyDescent="0.3">
      <c r="W320">
        <f t="shared" si="32"/>
        <v>1.2551481159424072</v>
      </c>
      <c r="Z320">
        <f t="shared" si="33"/>
        <v>15</v>
      </c>
      <c r="AA320">
        <f t="shared" si="35"/>
        <v>-3.0457015933620104</v>
      </c>
      <c r="AB320">
        <f t="shared" si="34"/>
        <v>0.57612627611480016</v>
      </c>
    </row>
    <row r="321" spans="23:28" x14ac:dyDescent="0.3">
      <c r="W321">
        <f t="shared" si="32"/>
        <v>1.338434015864528</v>
      </c>
      <c r="Z321">
        <f t="shared" si="33"/>
        <v>15</v>
      </c>
      <c r="AA321">
        <f t="shared" si="35"/>
        <v>-3.1289874932841313</v>
      </c>
      <c r="AB321">
        <f t="shared" si="34"/>
        <v>0.53973940308666546</v>
      </c>
    </row>
    <row r="322" spans="23:28" x14ac:dyDescent="0.3">
      <c r="W322">
        <f t="shared" si="32"/>
        <v>1.4752504388228256</v>
      </c>
      <c r="Z322">
        <f t="shared" si="33"/>
        <v>15</v>
      </c>
      <c r="AA322">
        <f t="shared" si="35"/>
        <v>-3.2658039162424291</v>
      </c>
      <c r="AB322">
        <f t="shared" si="34"/>
        <v>0.50459598065778399</v>
      </c>
    </row>
    <row r="323" spans="23:28" x14ac:dyDescent="0.3">
      <c r="W323">
        <f t="shared" si="32"/>
        <v>1.7500498409303191</v>
      </c>
      <c r="Z323">
        <f t="shared" si="33"/>
        <v>15</v>
      </c>
      <c r="AA323">
        <f t="shared" si="35"/>
        <v>-3.5406033183499224</v>
      </c>
      <c r="AB323">
        <f t="shared" si="34"/>
        <v>0.4654409702187336</v>
      </c>
    </row>
    <row r="324" spans="23:28" x14ac:dyDescent="0.3">
      <c r="W324">
        <f t="shared" si="32"/>
        <v>2.1966564988861639</v>
      </c>
      <c r="Z324">
        <f t="shared" si="33"/>
        <v>15</v>
      </c>
      <c r="AA324">
        <f t="shared" si="35"/>
        <v>-3.9872099763057673</v>
      </c>
      <c r="AB324">
        <f t="shared" si="34"/>
        <v>0.43134659976949657</v>
      </c>
    </row>
    <row r="325" spans="23:28" x14ac:dyDescent="0.3">
      <c r="W325">
        <f t="shared" si="32"/>
        <v>2.2783011649994576</v>
      </c>
      <c r="Z325">
        <f t="shared" si="33"/>
        <v>15</v>
      </c>
      <c r="AA325">
        <f t="shared" si="35"/>
        <v>-4.068854642419061</v>
      </c>
      <c r="AB325">
        <f t="shared" si="34"/>
        <v>0.42690955700104</v>
      </c>
    </row>
    <row r="326" spans="23:28" x14ac:dyDescent="0.3">
      <c r="W326">
        <f t="shared" si="32"/>
        <v>0</v>
      </c>
      <c r="Z326">
        <f t="shared" si="33"/>
        <v>16</v>
      </c>
      <c r="AA326">
        <f t="shared" si="35"/>
        <v>-4.0688546424190655</v>
      </c>
      <c r="AB326">
        <f t="shared" si="34"/>
        <v>0.77145643900915783</v>
      </c>
    </row>
    <row r="327" spans="23:28" x14ac:dyDescent="0.3">
      <c r="W327">
        <f t="shared" si="32"/>
        <v>1.1429999999999998</v>
      </c>
      <c r="Z327">
        <f t="shared" si="33"/>
        <v>16</v>
      </c>
      <c r="AA327">
        <f t="shared" si="35"/>
        <v>-5.2118546424190653</v>
      </c>
      <c r="AB327">
        <f t="shared" si="34"/>
        <v>0.77145643900915783</v>
      </c>
    </row>
    <row r="328" spans="23:28" x14ac:dyDescent="0.3">
      <c r="W328">
        <f t="shared" si="32"/>
        <v>1.1429999999999998</v>
      </c>
      <c r="Z328">
        <f t="shared" si="33"/>
        <v>16</v>
      </c>
      <c r="AA328">
        <f t="shared" si="35"/>
        <v>-5.2118546424190653</v>
      </c>
      <c r="AB328">
        <f t="shared" si="34"/>
        <v>0.77068498257014872</v>
      </c>
    </row>
    <row r="329" spans="23:28" x14ac:dyDescent="0.3">
      <c r="W329">
        <f t="shared" si="32"/>
        <v>1.1430009999999997</v>
      </c>
      <c r="Z329">
        <f t="shared" si="33"/>
        <v>16</v>
      </c>
      <c r="AA329">
        <f t="shared" si="35"/>
        <v>-5.2118556424190654</v>
      </c>
      <c r="AB329">
        <f t="shared" si="34"/>
        <v>0.77067300983892906</v>
      </c>
    </row>
    <row r="330" spans="23:28" x14ac:dyDescent="0.3">
      <c r="W330">
        <f t="shared" si="32"/>
        <v>1.1435498904157428</v>
      </c>
      <c r="Z330">
        <f t="shared" si="33"/>
        <v>16</v>
      </c>
      <c r="AA330">
        <f t="shared" si="35"/>
        <v>-5.2124045328348085</v>
      </c>
      <c r="AB330">
        <f t="shared" si="34"/>
        <v>0.76448695437332481</v>
      </c>
    </row>
    <row r="331" spans="23:28" x14ac:dyDescent="0.3">
      <c r="W331">
        <f t="shared" ref="W331:W394" si="36">W313</f>
        <v>1.1455954702393722</v>
      </c>
      <c r="Z331">
        <f t="shared" ref="Z331:Z394" si="37">Z313+1</f>
        <v>16</v>
      </c>
      <c r="AA331">
        <f t="shared" si="35"/>
        <v>-5.2144501126584375</v>
      </c>
      <c r="AB331">
        <f t="shared" ref="AB331:AB394" si="38">AB313</f>
        <v>0.7462179928210797</v>
      </c>
    </row>
    <row r="332" spans="23:28" x14ac:dyDescent="0.3">
      <c r="W332">
        <f t="shared" si="36"/>
        <v>1.1480120980280246</v>
      </c>
      <c r="Z332">
        <f t="shared" si="37"/>
        <v>16</v>
      </c>
      <c r="AA332">
        <f t="shared" si="35"/>
        <v>-5.2168667404470899</v>
      </c>
      <c r="AB332">
        <f t="shared" si="38"/>
        <v>0.73027266839631366</v>
      </c>
    </row>
    <row r="333" spans="23:28" x14ac:dyDescent="0.3">
      <c r="W333">
        <f t="shared" si="36"/>
        <v>1.1521461796584274</v>
      </c>
      <c r="Z333">
        <f t="shared" si="37"/>
        <v>16</v>
      </c>
      <c r="AA333">
        <f t="shared" si="35"/>
        <v>-5.2210008220774924</v>
      </c>
      <c r="AB333">
        <f t="shared" si="38"/>
        <v>0.7101552774493437</v>
      </c>
    </row>
    <row r="334" spans="23:28" x14ac:dyDescent="0.3">
      <c r="W334">
        <f t="shared" si="36"/>
        <v>1.157464405515152</v>
      </c>
      <c r="Z334">
        <f t="shared" si="37"/>
        <v>16</v>
      </c>
      <c r="AA334">
        <f t="shared" si="35"/>
        <v>-5.2263190479342176</v>
      </c>
      <c r="AB334">
        <f t="shared" si="38"/>
        <v>0.69122254011085482</v>
      </c>
    </row>
    <row r="335" spans="23:28" x14ac:dyDescent="0.3">
      <c r="W335">
        <f t="shared" si="36"/>
        <v>1.167916082410517</v>
      </c>
      <c r="Z335">
        <f t="shared" si="37"/>
        <v>16</v>
      </c>
      <c r="AA335">
        <f t="shared" si="35"/>
        <v>-5.2367707248295829</v>
      </c>
      <c r="AB335">
        <f t="shared" si="38"/>
        <v>0.66499411019811316</v>
      </c>
    </row>
    <row r="336" spans="23:28" x14ac:dyDescent="0.3">
      <c r="W336">
        <f t="shared" si="36"/>
        <v>1.183100589395595</v>
      </c>
      <c r="Z336">
        <f t="shared" si="37"/>
        <v>16</v>
      </c>
      <c r="AA336">
        <f t="shared" si="35"/>
        <v>-5.2519552318146605</v>
      </c>
      <c r="AB336">
        <f t="shared" si="38"/>
        <v>0.63909697400592513</v>
      </c>
    </row>
    <row r="337" spans="23:28" x14ac:dyDescent="0.3">
      <c r="W337">
        <f t="shared" si="36"/>
        <v>1.2109069376156516</v>
      </c>
      <c r="Z337">
        <f t="shared" si="37"/>
        <v>16</v>
      </c>
      <c r="AA337">
        <f t="shared" si="35"/>
        <v>-5.2797615800347169</v>
      </c>
      <c r="AB337">
        <f t="shared" si="38"/>
        <v>0.60781973946339873</v>
      </c>
    </row>
    <row r="338" spans="23:28" x14ac:dyDescent="0.3">
      <c r="W338">
        <f t="shared" si="36"/>
        <v>1.2551481159424072</v>
      </c>
      <c r="Z338">
        <f t="shared" si="37"/>
        <v>16</v>
      </c>
      <c r="AA338">
        <f t="shared" si="35"/>
        <v>-5.3240027583614724</v>
      </c>
      <c r="AB338">
        <f t="shared" si="38"/>
        <v>0.57612627611480016</v>
      </c>
    </row>
    <row r="339" spans="23:28" x14ac:dyDescent="0.3">
      <c r="W339">
        <f t="shared" si="36"/>
        <v>1.338434015864528</v>
      </c>
      <c r="Z339">
        <f t="shared" si="37"/>
        <v>16</v>
      </c>
      <c r="AA339">
        <f t="shared" si="35"/>
        <v>-5.4072886582835933</v>
      </c>
      <c r="AB339">
        <f t="shared" si="38"/>
        <v>0.53973940308666546</v>
      </c>
    </row>
    <row r="340" spans="23:28" x14ac:dyDescent="0.3">
      <c r="W340">
        <f t="shared" si="36"/>
        <v>1.4752504388228256</v>
      </c>
      <c r="Z340">
        <f t="shared" si="37"/>
        <v>16</v>
      </c>
      <c r="AA340">
        <f t="shared" si="35"/>
        <v>-5.5441050812418915</v>
      </c>
      <c r="AB340">
        <f t="shared" si="38"/>
        <v>0.50459598065778399</v>
      </c>
    </row>
    <row r="341" spans="23:28" x14ac:dyDescent="0.3">
      <c r="W341">
        <f t="shared" si="36"/>
        <v>1.7500498409303191</v>
      </c>
      <c r="Z341">
        <f t="shared" si="37"/>
        <v>16</v>
      </c>
      <c r="AA341">
        <f t="shared" si="35"/>
        <v>-5.8189044833493844</v>
      </c>
      <c r="AB341">
        <f t="shared" si="38"/>
        <v>0.4654409702187336</v>
      </c>
    </row>
    <row r="342" spans="23:28" x14ac:dyDescent="0.3">
      <c r="W342">
        <f t="shared" si="36"/>
        <v>2.1966564988861639</v>
      </c>
      <c r="Z342">
        <f t="shared" si="37"/>
        <v>16</v>
      </c>
      <c r="AA342">
        <f t="shared" si="35"/>
        <v>-6.2655111413052289</v>
      </c>
      <c r="AB342">
        <f t="shared" si="38"/>
        <v>0.43134659976949657</v>
      </c>
    </row>
    <row r="343" spans="23:28" x14ac:dyDescent="0.3">
      <c r="W343">
        <f t="shared" si="36"/>
        <v>2.2783011649994576</v>
      </c>
      <c r="Z343">
        <f t="shared" si="37"/>
        <v>16</v>
      </c>
      <c r="AA343">
        <f t="shared" si="35"/>
        <v>-6.347155807418523</v>
      </c>
      <c r="AB343">
        <f t="shared" si="38"/>
        <v>0.42690955700104</v>
      </c>
    </row>
    <row r="344" spans="23:28" x14ac:dyDescent="0.3">
      <c r="W344">
        <f t="shared" si="36"/>
        <v>0</v>
      </c>
      <c r="Z344">
        <f t="shared" si="37"/>
        <v>17</v>
      </c>
      <c r="AA344">
        <f t="shared" si="35"/>
        <v>-6.3471558074185204</v>
      </c>
      <c r="AB344">
        <f t="shared" si="38"/>
        <v>0.77145643900915783</v>
      </c>
    </row>
    <row r="345" spans="23:28" x14ac:dyDescent="0.3">
      <c r="W345">
        <f t="shared" si="36"/>
        <v>1.1429999999999998</v>
      </c>
      <c r="Z345">
        <f t="shared" si="37"/>
        <v>17</v>
      </c>
      <c r="AA345">
        <f t="shared" si="35"/>
        <v>-7.4901558074185202</v>
      </c>
      <c r="AB345">
        <f t="shared" si="38"/>
        <v>0.77145643900915783</v>
      </c>
    </row>
    <row r="346" spans="23:28" x14ac:dyDescent="0.3">
      <c r="W346">
        <f t="shared" si="36"/>
        <v>1.1429999999999998</v>
      </c>
      <c r="Z346">
        <f t="shared" si="37"/>
        <v>17</v>
      </c>
      <c r="AA346">
        <f t="shared" si="35"/>
        <v>-7.4901558074185202</v>
      </c>
      <c r="AB346">
        <f t="shared" si="38"/>
        <v>0.77068498257014872</v>
      </c>
    </row>
    <row r="347" spans="23:28" x14ac:dyDescent="0.3">
      <c r="W347">
        <f t="shared" si="36"/>
        <v>1.1430009999999997</v>
      </c>
      <c r="Z347">
        <f t="shared" si="37"/>
        <v>17</v>
      </c>
      <c r="AA347">
        <f t="shared" si="35"/>
        <v>-7.4901568074185203</v>
      </c>
      <c r="AB347">
        <f t="shared" si="38"/>
        <v>0.77067300983892906</v>
      </c>
    </row>
    <row r="348" spans="23:28" x14ac:dyDescent="0.3">
      <c r="W348">
        <f t="shared" si="36"/>
        <v>1.1435498904157428</v>
      </c>
      <c r="Z348">
        <f t="shared" si="37"/>
        <v>17</v>
      </c>
      <c r="AA348">
        <f t="shared" si="35"/>
        <v>-7.4907056978342634</v>
      </c>
      <c r="AB348">
        <f t="shared" si="38"/>
        <v>0.76448695437332481</v>
      </c>
    </row>
    <row r="349" spans="23:28" x14ac:dyDescent="0.3">
      <c r="W349">
        <f t="shared" si="36"/>
        <v>1.1455954702393722</v>
      </c>
      <c r="Z349">
        <f t="shared" si="37"/>
        <v>17</v>
      </c>
      <c r="AA349">
        <f t="shared" si="35"/>
        <v>-7.4927512776578924</v>
      </c>
      <c r="AB349">
        <f t="shared" si="38"/>
        <v>0.7462179928210797</v>
      </c>
    </row>
    <row r="350" spans="23:28" x14ac:dyDescent="0.3">
      <c r="W350">
        <f t="shared" si="36"/>
        <v>1.1480120980280246</v>
      </c>
      <c r="Z350">
        <f t="shared" si="37"/>
        <v>17</v>
      </c>
      <c r="AA350">
        <f t="shared" si="35"/>
        <v>-7.4951679054465448</v>
      </c>
      <c r="AB350">
        <f t="shared" si="38"/>
        <v>0.73027266839631366</v>
      </c>
    </row>
    <row r="351" spans="23:28" x14ac:dyDescent="0.3">
      <c r="W351">
        <f t="shared" si="36"/>
        <v>1.1521461796584274</v>
      </c>
      <c r="Z351">
        <f t="shared" si="37"/>
        <v>17</v>
      </c>
      <c r="AA351">
        <f t="shared" si="35"/>
        <v>-7.4993019870769473</v>
      </c>
      <c r="AB351">
        <f t="shared" si="38"/>
        <v>0.7101552774493437</v>
      </c>
    </row>
    <row r="352" spans="23:28" x14ac:dyDescent="0.3">
      <c r="W352">
        <f t="shared" si="36"/>
        <v>1.157464405515152</v>
      </c>
      <c r="Z352">
        <f t="shared" si="37"/>
        <v>17</v>
      </c>
      <c r="AA352">
        <f t="shared" si="35"/>
        <v>-7.5046202129336725</v>
      </c>
      <c r="AB352">
        <f t="shared" si="38"/>
        <v>0.69122254011085482</v>
      </c>
    </row>
    <row r="353" spans="23:28" x14ac:dyDescent="0.3">
      <c r="W353">
        <f t="shared" si="36"/>
        <v>1.167916082410517</v>
      </c>
      <c r="Z353">
        <f t="shared" si="37"/>
        <v>17</v>
      </c>
      <c r="AA353">
        <f t="shared" si="35"/>
        <v>-7.5150718898290378</v>
      </c>
      <c r="AB353">
        <f t="shared" si="38"/>
        <v>0.66499411019811316</v>
      </c>
    </row>
    <row r="354" spans="23:28" x14ac:dyDescent="0.3">
      <c r="W354">
        <f t="shared" si="36"/>
        <v>1.183100589395595</v>
      </c>
      <c r="Z354">
        <f t="shared" si="37"/>
        <v>17</v>
      </c>
      <c r="AA354">
        <f t="shared" si="35"/>
        <v>-7.5302563968141154</v>
      </c>
      <c r="AB354">
        <f t="shared" si="38"/>
        <v>0.63909697400592513</v>
      </c>
    </row>
    <row r="355" spans="23:28" x14ac:dyDescent="0.3">
      <c r="W355">
        <f t="shared" si="36"/>
        <v>1.2109069376156516</v>
      </c>
      <c r="Z355">
        <f t="shared" si="37"/>
        <v>17</v>
      </c>
      <c r="AA355">
        <f t="shared" si="35"/>
        <v>-7.5580627450341717</v>
      </c>
      <c r="AB355">
        <f t="shared" si="38"/>
        <v>0.60781973946339873</v>
      </c>
    </row>
    <row r="356" spans="23:28" x14ac:dyDescent="0.3">
      <c r="W356">
        <f t="shared" si="36"/>
        <v>1.2551481159424072</v>
      </c>
      <c r="Z356">
        <f t="shared" si="37"/>
        <v>17</v>
      </c>
      <c r="AA356">
        <f t="shared" si="35"/>
        <v>-7.6023039233609273</v>
      </c>
      <c r="AB356">
        <f t="shared" si="38"/>
        <v>0.57612627611480016</v>
      </c>
    </row>
    <row r="357" spans="23:28" x14ac:dyDescent="0.3">
      <c r="W357">
        <f t="shared" si="36"/>
        <v>1.338434015864528</v>
      </c>
      <c r="Z357">
        <f t="shared" si="37"/>
        <v>17</v>
      </c>
      <c r="AA357">
        <f t="shared" si="35"/>
        <v>-7.6855898232830482</v>
      </c>
      <c r="AB357">
        <f t="shared" si="38"/>
        <v>0.53973940308666546</v>
      </c>
    </row>
    <row r="358" spans="23:28" x14ac:dyDescent="0.3">
      <c r="W358">
        <f t="shared" si="36"/>
        <v>1.4752504388228256</v>
      </c>
      <c r="Z358">
        <f t="shared" si="37"/>
        <v>17</v>
      </c>
      <c r="AA358">
        <f t="shared" si="35"/>
        <v>-7.8224062462413464</v>
      </c>
      <c r="AB358">
        <f t="shared" si="38"/>
        <v>0.50459598065778399</v>
      </c>
    </row>
    <row r="359" spans="23:28" x14ac:dyDescent="0.3">
      <c r="W359">
        <f t="shared" si="36"/>
        <v>1.7500498409303191</v>
      </c>
      <c r="Z359">
        <f t="shared" si="37"/>
        <v>17</v>
      </c>
      <c r="AA359">
        <f t="shared" si="35"/>
        <v>-8.0972056483488402</v>
      </c>
      <c r="AB359">
        <f t="shared" si="38"/>
        <v>0.4654409702187336</v>
      </c>
    </row>
    <row r="360" spans="23:28" x14ac:dyDescent="0.3">
      <c r="W360">
        <f t="shared" si="36"/>
        <v>2.1966564988861639</v>
      </c>
      <c r="Z360">
        <f t="shared" si="37"/>
        <v>17</v>
      </c>
      <c r="AA360">
        <f t="shared" si="35"/>
        <v>-8.5438123063046838</v>
      </c>
      <c r="AB360">
        <f t="shared" si="38"/>
        <v>0.43134659976949657</v>
      </c>
    </row>
    <row r="361" spans="23:28" x14ac:dyDescent="0.3">
      <c r="W361">
        <f t="shared" si="36"/>
        <v>2.2783011649994576</v>
      </c>
      <c r="Z361">
        <f t="shared" si="37"/>
        <v>17</v>
      </c>
      <c r="AA361">
        <f t="shared" si="35"/>
        <v>-8.6254569724179788</v>
      </c>
      <c r="AB361">
        <f t="shared" si="38"/>
        <v>0.42690955700104</v>
      </c>
    </row>
    <row r="362" spans="23:28" x14ac:dyDescent="0.3">
      <c r="W362">
        <f t="shared" si="36"/>
        <v>0</v>
      </c>
      <c r="Z362">
        <f t="shared" si="37"/>
        <v>18</v>
      </c>
      <c r="AA362">
        <f t="shared" si="35"/>
        <v>-8.6254569724179753</v>
      </c>
      <c r="AB362">
        <f t="shared" si="38"/>
        <v>0.77145643900915783</v>
      </c>
    </row>
    <row r="363" spans="23:28" x14ac:dyDescent="0.3">
      <c r="W363">
        <f t="shared" si="36"/>
        <v>1.1429999999999998</v>
      </c>
      <c r="Z363">
        <f t="shared" si="37"/>
        <v>18</v>
      </c>
      <c r="AA363">
        <f t="shared" si="35"/>
        <v>-9.7684569724179759</v>
      </c>
      <c r="AB363">
        <f t="shared" si="38"/>
        <v>0.77145643900915783</v>
      </c>
    </row>
    <row r="364" spans="23:28" x14ac:dyDescent="0.3">
      <c r="W364">
        <f t="shared" si="36"/>
        <v>1.1429999999999998</v>
      </c>
      <c r="Z364">
        <f t="shared" si="37"/>
        <v>18</v>
      </c>
      <c r="AA364">
        <f t="shared" si="35"/>
        <v>-9.7684569724179759</v>
      </c>
      <c r="AB364">
        <f t="shared" si="38"/>
        <v>0.77068498257014872</v>
      </c>
    </row>
    <row r="365" spans="23:28" x14ac:dyDescent="0.3">
      <c r="W365">
        <f t="shared" si="36"/>
        <v>1.1430009999999997</v>
      </c>
      <c r="Z365">
        <f t="shared" si="37"/>
        <v>18</v>
      </c>
      <c r="AA365">
        <f t="shared" si="35"/>
        <v>-9.7684579724179752</v>
      </c>
      <c r="AB365">
        <f t="shared" si="38"/>
        <v>0.77067300983892906</v>
      </c>
    </row>
    <row r="366" spans="23:28" x14ac:dyDescent="0.3">
      <c r="W366">
        <f t="shared" si="36"/>
        <v>1.1435498904157428</v>
      </c>
      <c r="Z366">
        <f t="shared" si="37"/>
        <v>18</v>
      </c>
      <c r="AA366">
        <f t="shared" si="35"/>
        <v>-9.7690068628337183</v>
      </c>
      <c r="AB366">
        <f t="shared" si="38"/>
        <v>0.76448695437332481</v>
      </c>
    </row>
    <row r="367" spans="23:28" x14ac:dyDescent="0.3">
      <c r="W367">
        <f t="shared" si="36"/>
        <v>1.1455954702393722</v>
      </c>
      <c r="Z367">
        <f t="shared" si="37"/>
        <v>18</v>
      </c>
      <c r="AA367">
        <f t="shared" si="35"/>
        <v>-9.7710524426573482</v>
      </c>
      <c r="AB367">
        <f t="shared" si="38"/>
        <v>0.7462179928210797</v>
      </c>
    </row>
    <row r="368" spans="23:28" x14ac:dyDescent="0.3">
      <c r="W368">
        <f t="shared" si="36"/>
        <v>1.1480120980280246</v>
      </c>
      <c r="Z368">
        <f t="shared" si="37"/>
        <v>18</v>
      </c>
      <c r="AA368">
        <f t="shared" si="35"/>
        <v>-9.7734690704459997</v>
      </c>
      <c r="AB368">
        <f t="shared" si="38"/>
        <v>0.73027266839631366</v>
      </c>
    </row>
    <row r="369" spans="23:28" x14ac:dyDescent="0.3">
      <c r="W369">
        <f t="shared" si="36"/>
        <v>1.1521461796584274</v>
      </c>
      <c r="Z369">
        <f t="shared" si="37"/>
        <v>18</v>
      </c>
      <c r="AA369">
        <f t="shared" si="35"/>
        <v>-9.7776031520764022</v>
      </c>
      <c r="AB369">
        <f t="shared" si="38"/>
        <v>0.7101552774493437</v>
      </c>
    </row>
    <row r="370" spans="23:28" x14ac:dyDescent="0.3">
      <c r="W370">
        <f t="shared" si="36"/>
        <v>1.157464405515152</v>
      </c>
      <c r="Z370">
        <f t="shared" si="37"/>
        <v>18</v>
      </c>
      <c r="AA370">
        <f t="shared" si="35"/>
        <v>-9.7829213779331265</v>
      </c>
      <c r="AB370">
        <f t="shared" si="38"/>
        <v>0.69122254011085482</v>
      </c>
    </row>
    <row r="371" spans="23:28" x14ac:dyDescent="0.3">
      <c r="W371">
        <f t="shared" si="36"/>
        <v>1.167916082410517</v>
      </c>
      <c r="Z371">
        <f t="shared" si="37"/>
        <v>18</v>
      </c>
      <c r="AA371">
        <f t="shared" si="35"/>
        <v>-9.7933730548284927</v>
      </c>
      <c r="AB371">
        <f t="shared" si="38"/>
        <v>0.66499411019811316</v>
      </c>
    </row>
    <row r="372" spans="23:28" x14ac:dyDescent="0.3">
      <c r="W372">
        <f t="shared" si="36"/>
        <v>1.183100589395595</v>
      </c>
      <c r="Z372">
        <f t="shared" si="37"/>
        <v>18</v>
      </c>
      <c r="AA372">
        <f t="shared" si="35"/>
        <v>-9.8085575618135703</v>
      </c>
      <c r="AB372">
        <f t="shared" si="38"/>
        <v>0.63909697400592513</v>
      </c>
    </row>
    <row r="373" spans="23:28" x14ac:dyDescent="0.3">
      <c r="W373">
        <f t="shared" si="36"/>
        <v>1.2109069376156516</v>
      </c>
      <c r="Z373">
        <f t="shared" si="37"/>
        <v>18</v>
      </c>
      <c r="AA373">
        <f t="shared" si="35"/>
        <v>-9.8363639100336275</v>
      </c>
      <c r="AB373">
        <f t="shared" si="38"/>
        <v>0.60781973946339873</v>
      </c>
    </row>
    <row r="374" spans="23:28" x14ac:dyDescent="0.3">
      <c r="W374">
        <f t="shared" si="36"/>
        <v>1.2551481159424072</v>
      </c>
      <c r="Z374">
        <f t="shared" si="37"/>
        <v>18</v>
      </c>
      <c r="AA374">
        <f t="shared" si="35"/>
        <v>-9.8806050883603831</v>
      </c>
      <c r="AB374">
        <f t="shared" si="38"/>
        <v>0.57612627611480016</v>
      </c>
    </row>
    <row r="375" spans="23:28" x14ac:dyDescent="0.3">
      <c r="W375">
        <f t="shared" si="36"/>
        <v>1.338434015864528</v>
      </c>
      <c r="Z375">
        <f t="shared" si="37"/>
        <v>18</v>
      </c>
      <c r="AA375">
        <f t="shared" si="35"/>
        <v>-9.963890988282504</v>
      </c>
      <c r="AB375">
        <f t="shared" si="38"/>
        <v>0.53973940308666546</v>
      </c>
    </row>
    <row r="376" spans="23:28" x14ac:dyDescent="0.3">
      <c r="W376">
        <f t="shared" si="36"/>
        <v>1.4752504388228256</v>
      </c>
      <c r="Z376">
        <f t="shared" si="37"/>
        <v>18</v>
      </c>
      <c r="AA376">
        <f t="shared" si="35"/>
        <v>-10.100707411240801</v>
      </c>
      <c r="AB376">
        <f t="shared" si="38"/>
        <v>0.50459598065778399</v>
      </c>
    </row>
    <row r="377" spans="23:28" x14ac:dyDescent="0.3">
      <c r="W377">
        <f t="shared" si="36"/>
        <v>1.7500498409303191</v>
      </c>
      <c r="Z377">
        <f t="shared" si="37"/>
        <v>18</v>
      </c>
      <c r="AA377">
        <f t="shared" ref="AA377:AA440" si="39">$AA$55-(Z377-1)*$X$51-W377</f>
        <v>-10.375506813348295</v>
      </c>
      <c r="AB377">
        <f t="shared" si="38"/>
        <v>0.4654409702187336</v>
      </c>
    </row>
    <row r="378" spans="23:28" x14ac:dyDescent="0.3">
      <c r="W378">
        <f t="shared" si="36"/>
        <v>2.1966564988861639</v>
      </c>
      <c r="Z378">
        <f t="shared" si="37"/>
        <v>18</v>
      </c>
      <c r="AA378">
        <f t="shared" si="39"/>
        <v>-10.822113471304139</v>
      </c>
      <c r="AB378">
        <f t="shared" si="38"/>
        <v>0.43134659976949657</v>
      </c>
    </row>
    <row r="379" spans="23:28" x14ac:dyDescent="0.3">
      <c r="W379">
        <f t="shared" si="36"/>
        <v>2.2783011649994576</v>
      </c>
      <c r="Z379">
        <f t="shared" si="37"/>
        <v>18</v>
      </c>
      <c r="AA379">
        <f t="shared" si="39"/>
        <v>-10.903758137417434</v>
      </c>
      <c r="AB379">
        <f t="shared" si="38"/>
        <v>0.42690955700104</v>
      </c>
    </row>
    <row r="380" spans="23:28" x14ac:dyDescent="0.3">
      <c r="W380">
        <f t="shared" si="36"/>
        <v>0</v>
      </c>
      <c r="Z380">
        <f t="shared" si="37"/>
        <v>19</v>
      </c>
      <c r="AA380">
        <f t="shared" si="39"/>
        <v>-10.903758137417437</v>
      </c>
      <c r="AB380">
        <f t="shared" si="38"/>
        <v>0.77145643900915783</v>
      </c>
    </row>
    <row r="381" spans="23:28" x14ac:dyDescent="0.3">
      <c r="W381">
        <f t="shared" si="36"/>
        <v>1.1429999999999998</v>
      </c>
      <c r="Z381">
        <f t="shared" si="37"/>
        <v>19</v>
      </c>
      <c r="AA381">
        <f t="shared" si="39"/>
        <v>-12.046758137417438</v>
      </c>
      <c r="AB381">
        <f t="shared" si="38"/>
        <v>0.77145643900915783</v>
      </c>
    </row>
    <row r="382" spans="23:28" x14ac:dyDescent="0.3">
      <c r="W382">
        <f t="shared" si="36"/>
        <v>1.1429999999999998</v>
      </c>
      <c r="Z382">
        <f t="shared" si="37"/>
        <v>19</v>
      </c>
      <c r="AA382">
        <f t="shared" si="39"/>
        <v>-12.046758137417438</v>
      </c>
      <c r="AB382">
        <f t="shared" si="38"/>
        <v>0.77068498257014872</v>
      </c>
    </row>
    <row r="383" spans="23:28" x14ac:dyDescent="0.3">
      <c r="W383">
        <f t="shared" si="36"/>
        <v>1.1430009999999997</v>
      </c>
      <c r="Z383">
        <f t="shared" si="37"/>
        <v>19</v>
      </c>
      <c r="AA383">
        <f t="shared" si="39"/>
        <v>-12.046759137417437</v>
      </c>
      <c r="AB383">
        <f t="shared" si="38"/>
        <v>0.77067300983892906</v>
      </c>
    </row>
    <row r="384" spans="23:28" x14ac:dyDescent="0.3">
      <c r="W384">
        <f t="shared" si="36"/>
        <v>1.1435498904157428</v>
      </c>
      <c r="Z384">
        <f t="shared" si="37"/>
        <v>19</v>
      </c>
      <c r="AA384">
        <f t="shared" si="39"/>
        <v>-12.04730802783318</v>
      </c>
      <c r="AB384">
        <f t="shared" si="38"/>
        <v>0.76448695437332481</v>
      </c>
    </row>
    <row r="385" spans="23:28" x14ac:dyDescent="0.3">
      <c r="W385">
        <f t="shared" si="36"/>
        <v>1.1455954702393722</v>
      </c>
      <c r="Z385">
        <f t="shared" si="37"/>
        <v>19</v>
      </c>
      <c r="AA385">
        <f t="shared" si="39"/>
        <v>-12.04935360765681</v>
      </c>
      <c r="AB385">
        <f t="shared" si="38"/>
        <v>0.7462179928210797</v>
      </c>
    </row>
    <row r="386" spans="23:28" x14ac:dyDescent="0.3">
      <c r="W386">
        <f t="shared" si="36"/>
        <v>1.1480120980280246</v>
      </c>
      <c r="Z386">
        <f t="shared" si="37"/>
        <v>19</v>
      </c>
      <c r="AA386">
        <f t="shared" si="39"/>
        <v>-12.051770235445462</v>
      </c>
      <c r="AB386">
        <f t="shared" si="38"/>
        <v>0.73027266839631366</v>
      </c>
    </row>
    <row r="387" spans="23:28" x14ac:dyDescent="0.3">
      <c r="W387">
        <f t="shared" si="36"/>
        <v>1.1521461796584274</v>
      </c>
      <c r="Z387">
        <f t="shared" si="37"/>
        <v>19</v>
      </c>
      <c r="AA387">
        <f t="shared" si="39"/>
        <v>-12.055904317075864</v>
      </c>
      <c r="AB387">
        <f t="shared" si="38"/>
        <v>0.7101552774493437</v>
      </c>
    </row>
    <row r="388" spans="23:28" x14ac:dyDescent="0.3">
      <c r="W388">
        <f t="shared" si="36"/>
        <v>1.157464405515152</v>
      </c>
      <c r="Z388">
        <f t="shared" si="37"/>
        <v>19</v>
      </c>
      <c r="AA388">
        <f t="shared" si="39"/>
        <v>-12.061222542932589</v>
      </c>
      <c r="AB388">
        <f t="shared" si="38"/>
        <v>0.69122254011085482</v>
      </c>
    </row>
    <row r="389" spans="23:28" x14ac:dyDescent="0.3">
      <c r="W389">
        <f t="shared" si="36"/>
        <v>1.167916082410517</v>
      </c>
      <c r="Z389">
        <f t="shared" si="37"/>
        <v>19</v>
      </c>
      <c r="AA389">
        <f t="shared" si="39"/>
        <v>-12.071674219827955</v>
      </c>
      <c r="AB389">
        <f t="shared" si="38"/>
        <v>0.66499411019811316</v>
      </c>
    </row>
    <row r="390" spans="23:28" x14ac:dyDescent="0.3">
      <c r="W390">
        <f t="shared" si="36"/>
        <v>1.183100589395595</v>
      </c>
      <c r="Z390">
        <f t="shared" si="37"/>
        <v>19</v>
      </c>
      <c r="AA390">
        <f t="shared" si="39"/>
        <v>-12.086858726813032</v>
      </c>
      <c r="AB390">
        <f t="shared" si="38"/>
        <v>0.63909697400592513</v>
      </c>
    </row>
    <row r="391" spans="23:28" x14ac:dyDescent="0.3">
      <c r="W391">
        <f t="shared" si="36"/>
        <v>1.2109069376156516</v>
      </c>
      <c r="Z391">
        <f t="shared" si="37"/>
        <v>19</v>
      </c>
      <c r="AA391">
        <f t="shared" si="39"/>
        <v>-12.11466507503309</v>
      </c>
      <c r="AB391">
        <f t="shared" si="38"/>
        <v>0.60781973946339873</v>
      </c>
    </row>
    <row r="392" spans="23:28" x14ac:dyDescent="0.3">
      <c r="W392">
        <f t="shared" si="36"/>
        <v>1.2551481159424072</v>
      </c>
      <c r="Z392">
        <f t="shared" si="37"/>
        <v>19</v>
      </c>
      <c r="AA392">
        <f t="shared" si="39"/>
        <v>-12.158906253359845</v>
      </c>
      <c r="AB392">
        <f t="shared" si="38"/>
        <v>0.57612627611480016</v>
      </c>
    </row>
    <row r="393" spans="23:28" x14ac:dyDescent="0.3">
      <c r="W393">
        <f t="shared" si="36"/>
        <v>1.338434015864528</v>
      </c>
      <c r="Z393">
        <f t="shared" si="37"/>
        <v>19</v>
      </c>
      <c r="AA393">
        <f t="shared" si="39"/>
        <v>-12.242192153281966</v>
      </c>
      <c r="AB393">
        <f t="shared" si="38"/>
        <v>0.53973940308666546</v>
      </c>
    </row>
    <row r="394" spans="23:28" x14ac:dyDescent="0.3">
      <c r="W394">
        <f t="shared" si="36"/>
        <v>1.4752504388228256</v>
      </c>
      <c r="Z394">
        <f t="shared" si="37"/>
        <v>19</v>
      </c>
      <c r="AA394">
        <f t="shared" si="39"/>
        <v>-12.379008576240263</v>
      </c>
      <c r="AB394">
        <f t="shared" si="38"/>
        <v>0.50459598065778399</v>
      </c>
    </row>
    <row r="395" spans="23:28" x14ac:dyDescent="0.3">
      <c r="W395">
        <f t="shared" ref="W395:W458" si="40">W377</f>
        <v>1.7500498409303191</v>
      </c>
      <c r="Z395">
        <f t="shared" ref="Z395:Z458" si="41">Z377+1</f>
        <v>19</v>
      </c>
      <c r="AA395">
        <f t="shared" si="39"/>
        <v>-12.653807978347757</v>
      </c>
      <c r="AB395">
        <f t="shared" ref="AB395:AB458" si="42">AB377</f>
        <v>0.4654409702187336</v>
      </c>
    </row>
    <row r="396" spans="23:28" x14ac:dyDescent="0.3">
      <c r="W396">
        <f t="shared" si="40"/>
        <v>2.1966564988861639</v>
      </c>
      <c r="Z396">
        <f t="shared" si="41"/>
        <v>19</v>
      </c>
      <c r="AA396">
        <f t="shared" si="39"/>
        <v>-13.100414636303601</v>
      </c>
      <c r="AB396">
        <f t="shared" si="42"/>
        <v>0.43134659976949657</v>
      </c>
    </row>
    <row r="397" spans="23:28" x14ac:dyDescent="0.3">
      <c r="W397">
        <f t="shared" si="40"/>
        <v>2.2783011649994576</v>
      </c>
      <c r="Z397">
        <f t="shared" si="41"/>
        <v>19</v>
      </c>
      <c r="AA397">
        <f t="shared" si="39"/>
        <v>-13.182059302416896</v>
      </c>
      <c r="AB397">
        <f t="shared" si="42"/>
        <v>0.42690955700104</v>
      </c>
    </row>
    <row r="398" spans="23:28" x14ac:dyDescent="0.3">
      <c r="W398">
        <f t="shared" si="40"/>
        <v>0</v>
      </c>
      <c r="Z398">
        <f t="shared" si="41"/>
        <v>20</v>
      </c>
      <c r="AA398">
        <f t="shared" si="39"/>
        <v>-13.182059302416892</v>
      </c>
      <c r="AB398">
        <f t="shared" si="42"/>
        <v>0.77145643900915783</v>
      </c>
    </row>
    <row r="399" spans="23:28" x14ac:dyDescent="0.3">
      <c r="W399">
        <f t="shared" si="40"/>
        <v>1.1429999999999998</v>
      </c>
      <c r="Z399">
        <f t="shared" si="41"/>
        <v>20</v>
      </c>
      <c r="AA399">
        <f t="shared" si="39"/>
        <v>-14.325059302416893</v>
      </c>
      <c r="AB399">
        <f t="shared" si="42"/>
        <v>0.77145643900915783</v>
      </c>
    </row>
    <row r="400" spans="23:28" x14ac:dyDescent="0.3">
      <c r="W400">
        <f t="shared" si="40"/>
        <v>1.1429999999999998</v>
      </c>
      <c r="Z400">
        <f t="shared" si="41"/>
        <v>20</v>
      </c>
      <c r="AA400">
        <f t="shared" si="39"/>
        <v>-14.325059302416893</v>
      </c>
      <c r="AB400">
        <f t="shared" si="42"/>
        <v>0.77068498257014872</v>
      </c>
    </row>
    <row r="401" spans="23:28" x14ac:dyDescent="0.3">
      <c r="W401">
        <f t="shared" si="40"/>
        <v>1.1430009999999997</v>
      </c>
      <c r="Z401">
        <f t="shared" si="41"/>
        <v>20</v>
      </c>
      <c r="AA401">
        <f t="shared" si="39"/>
        <v>-14.325060302416892</v>
      </c>
      <c r="AB401">
        <f t="shared" si="42"/>
        <v>0.77067300983892906</v>
      </c>
    </row>
    <row r="402" spans="23:28" x14ac:dyDescent="0.3">
      <c r="W402">
        <f t="shared" si="40"/>
        <v>1.1435498904157428</v>
      </c>
      <c r="Z402">
        <f t="shared" si="41"/>
        <v>20</v>
      </c>
      <c r="AA402">
        <f t="shared" si="39"/>
        <v>-14.325609192832635</v>
      </c>
      <c r="AB402">
        <f t="shared" si="42"/>
        <v>0.76448695437332481</v>
      </c>
    </row>
    <row r="403" spans="23:28" x14ac:dyDescent="0.3">
      <c r="W403">
        <f t="shared" si="40"/>
        <v>1.1455954702393722</v>
      </c>
      <c r="Z403">
        <f t="shared" si="41"/>
        <v>20</v>
      </c>
      <c r="AA403">
        <f t="shared" si="39"/>
        <v>-14.327654772656265</v>
      </c>
      <c r="AB403">
        <f t="shared" si="42"/>
        <v>0.7462179928210797</v>
      </c>
    </row>
    <row r="404" spans="23:28" x14ac:dyDescent="0.3">
      <c r="W404">
        <f t="shared" si="40"/>
        <v>1.1480120980280246</v>
      </c>
      <c r="Z404">
        <f t="shared" si="41"/>
        <v>20</v>
      </c>
      <c r="AA404">
        <f t="shared" si="39"/>
        <v>-14.330071400444917</v>
      </c>
      <c r="AB404">
        <f t="shared" si="42"/>
        <v>0.73027266839631366</v>
      </c>
    </row>
    <row r="405" spans="23:28" x14ac:dyDescent="0.3">
      <c r="W405">
        <f t="shared" si="40"/>
        <v>1.1521461796584274</v>
      </c>
      <c r="Z405">
        <f t="shared" si="41"/>
        <v>20</v>
      </c>
      <c r="AA405">
        <f t="shared" si="39"/>
        <v>-14.334205482075319</v>
      </c>
      <c r="AB405">
        <f t="shared" si="42"/>
        <v>0.7101552774493437</v>
      </c>
    </row>
    <row r="406" spans="23:28" x14ac:dyDescent="0.3">
      <c r="W406">
        <f t="shared" si="40"/>
        <v>1.157464405515152</v>
      </c>
      <c r="Z406">
        <f t="shared" si="41"/>
        <v>20</v>
      </c>
      <c r="AA406">
        <f t="shared" si="39"/>
        <v>-14.339523707932043</v>
      </c>
      <c r="AB406">
        <f t="shared" si="42"/>
        <v>0.69122254011085482</v>
      </c>
    </row>
    <row r="407" spans="23:28" x14ac:dyDescent="0.3">
      <c r="W407">
        <f t="shared" si="40"/>
        <v>1.167916082410517</v>
      </c>
      <c r="Z407">
        <f t="shared" si="41"/>
        <v>20</v>
      </c>
      <c r="AA407">
        <f t="shared" si="39"/>
        <v>-14.34997538482741</v>
      </c>
      <c r="AB407">
        <f t="shared" si="42"/>
        <v>0.66499411019811316</v>
      </c>
    </row>
    <row r="408" spans="23:28" x14ac:dyDescent="0.3">
      <c r="W408">
        <f t="shared" si="40"/>
        <v>1.183100589395595</v>
      </c>
      <c r="Z408">
        <f t="shared" si="41"/>
        <v>20</v>
      </c>
      <c r="AA408">
        <f t="shared" si="39"/>
        <v>-14.365159891812487</v>
      </c>
      <c r="AB408">
        <f t="shared" si="42"/>
        <v>0.63909697400592513</v>
      </c>
    </row>
    <row r="409" spans="23:28" x14ac:dyDescent="0.3">
      <c r="W409">
        <f t="shared" si="40"/>
        <v>1.2109069376156516</v>
      </c>
      <c r="Z409">
        <f t="shared" si="41"/>
        <v>20</v>
      </c>
      <c r="AA409">
        <f t="shared" si="39"/>
        <v>-14.392966240032544</v>
      </c>
      <c r="AB409">
        <f t="shared" si="42"/>
        <v>0.60781973946339873</v>
      </c>
    </row>
    <row r="410" spans="23:28" x14ac:dyDescent="0.3">
      <c r="W410">
        <f t="shared" si="40"/>
        <v>1.2551481159424072</v>
      </c>
      <c r="Z410">
        <f t="shared" si="41"/>
        <v>20</v>
      </c>
      <c r="AA410">
        <f t="shared" si="39"/>
        <v>-14.4372074183593</v>
      </c>
      <c r="AB410">
        <f t="shared" si="42"/>
        <v>0.57612627611480016</v>
      </c>
    </row>
    <row r="411" spans="23:28" x14ac:dyDescent="0.3">
      <c r="W411">
        <f t="shared" si="40"/>
        <v>1.338434015864528</v>
      </c>
      <c r="Z411">
        <f t="shared" si="41"/>
        <v>20</v>
      </c>
      <c r="AA411">
        <f t="shared" si="39"/>
        <v>-14.520493318281421</v>
      </c>
      <c r="AB411">
        <f t="shared" si="42"/>
        <v>0.53973940308666546</v>
      </c>
    </row>
    <row r="412" spans="23:28" x14ac:dyDescent="0.3">
      <c r="W412">
        <f t="shared" si="40"/>
        <v>1.4752504388228256</v>
      </c>
      <c r="Z412">
        <f t="shared" si="41"/>
        <v>20</v>
      </c>
      <c r="AA412">
        <f t="shared" si="39"/>
        <v>-14.657309741239718</v>
      </c>
      <c r="AB412">
        <f t="shared" si="42"/>
        <v>0.50459598065778399</v>
      </c>
    </row>
    <row r="413" spans="23:28" x14ac:dyDescent="0.3">
      <c r="W413">
        <f t="shared" si="40"/>
        <v>1.7500498409303191</v>
      </c>
      <c r="Z413">
        <f t="shared" si="41"/>
        <v>20</v>
      </c>
      <c r="AA413">
        <f t="shared" si="39"/>
        <v>-14.932109143347212</v>
      </c>
      <c r="AB413">
        <f t="shared" si="42"/>
        <v>0.4654409702187336</v>
      </c>
    </row>
    <row r="414" spans="23:28" x14ac:dyDescent="0.3">
      <c r="W414">
        <f t="shared" si="40"/>
        <v>2.1966564988861639</v>
      </c>
      <c r="Z414">
        <f t="shared" si="41"/>
        <v>20</v>
      </c>
      <c r="AA414">
        <f t="shared" si="39"/>
        <v>-15.378715801303056</v>
      </c>
      <c r="AB414">
        <f t="shared" si="42"/>
        <v>0.43134659976949657</v>
      </c>
    </row>
    <row r="415" spans="23:28" x14ac:dyDescent="0.3">
      <c r="W415">
        <f t="shared" si="40"/>
        <v>2.2783011649994576</v>
      </c>
      <c r="Z415">
        <f t="shared" si="41"/>
        <v>20</v>
      </c>
      <c r="AA415">
        <f t="shared" si="39"/>
        <v>-15.460360467416351</v>
      </c>
      <c r="AB415">
        <f t="shared" si="42"/>
        <v>0.42690955700104</v>
      </c>
    </row>
    <row r="416" spans="23:28" x14ac:dyDescent="0.3">
      <c r="W416">
        <f t="shared" si="40"/>
        <v>0</v>
      </c>
      <c r="Z416">
        <f t="shared" si="41"/>
        <v>21</v>
      </c>
      <c r="AA416">
        <f t="shared" si="39"/>
        <v>-15.460360467416354</v>
      </c>
      <c r="AB416">
        <f t="shared" si="42"/>
        <v>0.77145643900915783</v>
      </c>
    </row>
    <row r="417" spans="23:28" x14ac:dyDescent="0.3">
      <c r="W417">
        <f t="shared" si="40"/>
        <v>1.1429999999999998</v>
      </c>
      <c r="Z417">
        <f t="shared" si="41"/>
        <v>21</v>
      </c>
      <c r="AA417">
        <f t="shared" si="39"/>
        <v>-16.603360467416355</v>
      </c>
      <c r="AB417">
        <f t="shared" si="42"/>
        <v>0.77145643900915783</v>
      </c>
    </row>
    <row r="418" spans="23:28" x14ac:dyDescent="0.3">
      <c r="W418">
        <f t="shared" si="40"/>
        <v>1.1429999999999998</v>
      </c>
      <c r="Z418">
        <f t="shared" si="41"/>
        <v>21</v>
      </c>
      <c r="AA418">
        <f t="shared" si="39"/>
        <v>-16.603360467416355</v>
      </c>
      <c r="AB418">
        <f t="shared" si="42"/>
        <v>0.77068498257014872</v>
      </c>
    </row>
    <row r="419" spans="23:28" x14ac:dyDescent="0.3">
      <c r="W419">
        <f t="shared" si="40"/>
        <v>1.1430009999999997</v>
      </c>
      <c r="Z419">
        <f t="shared" si="41"/>
        <v>21</v>
      </c>
      <c r="AA419">
        <f t="shared" si="39"/>
        <v>-16.603361467416352</v>
      </c>
      <c r="AB419">
        <f t="shared" si="42"/>
        <v>0.77067300983892906</v>
      </c>
    </row>
    <row r="420" spans="23:28" x14ac:dyDescent="0.3">
      <c r="W420">
        <f t="shared" si="40"/>
        <v>1.1435498904157428</v>
      </c>
      <c r="Z420">
        <f t="shared" si="41"/>
        <v>21</v>
      </c>
      <c r="AA420">
        <f t="shared" si="39"/>
        <v>-16.603910357832095</v>
      </c>
      <c r="AB420">
        <f t="shared" si="42"/>
        <v>0.76448695437332481</v>
      </c>
    </row>
    <row r="421" spans="23:28" x14ac:dyDescent="0.3">
      <c r="W421">
        <f t="shared" si="40"/>
        <v>1.1455954702393722</v>
      </c>
      <c r="Z421">
        <f t="shared" si="41"/>
        <v>21</v>
      </c>
      <c r="AA421">
        <f t="shared" si="39"/>
        <v>-16.605955937655725</v>
      </c>
      <c r="AB421">
        <f t="shared" si="42"/>
        <v>0.7462179928210797</v>
      </c>
    </row>
    <row r="422" spans="23:28" x14ac:dyDescent="0.3">
      <c r="W422">
        <f t="shared" si="40"/>
        <v>1.1480120980280246</v>
      </c>
      <c r="Z422">
        <f t="shared" si="41"/>
        <v>21</v>
      </c>
      <c r="AA422">
        <f t="shared" si="39"/>
        <v>-16.60837256544438</v>
      </c>
      <c r="AB422">
        <f t="shared" si="42"/>
        <v>0.73027266839631366</v>
      </c>
    </row>
    <row r="423" spans="23:28" x14ac:dyDescent="0.3">
      <c r="W423">
        <f t="shared" si="40"/>
        <v>1.1521461796584274</v>
      </c>
      <c r="Z423">
        <f t="shared" si="41"/>
        <v>21</v>
      </c>
      <c r="AA423">
        <f t="shared" si="39"/>
        <v>-16.612506647074781</v>
      </c>
      <c r="AB423">
        <f t="shared" si="42"/>
        <v>0.7101552774493437</v>
      </c>
    </row>
    <row r="424" spans="23:28" x14ac:dyDescent="0.3">
      <c r="W424">
        <f t="shared" si="40"/>
        <v>1.157464405515152</v>
      </c>
      <c r="Z424">
        <f t="shared" si="41"/>
        <v>21</v>
      </c>
      <c r="AA424">
        <f t="shared" si="39"/>
        <v>-16.617824872931507</v>
      </c>
      <c r="AB424">
        <f t="shared" si="42"/>
        <v>0.69122254011085482</v>
      </c>
    </row>
    <row r="425" spans="23:28" x14ac:dyDescent="0.3">
      <c r="W425">
        <f t="shared" si="40"/>
        <v>1.167916082410517</v>
      </c>
      <c r="Z425">
        <f t="shared" si="41"/>
        <v>21</v>
      </c>
      <c r="AA425">
        <f t="shared" si="39"/>
        <v>-16.628276549826872</v>
      </c>
      <c r="AB425">
        <f t="shared" si="42"/>
        <v>0.66499411019811316</v>
      </c>
    </row>
    <row r="426" spans="23:28" x14ac:dyDescent="0.3">
      <c r="W426">
        <f t="shared" si="40"/>
        <v>1.183100589395595</v>
      </c>
      <c r="Z426">
        <f t="shared" si="41"/>
        <v>21</v>
      </c>
      <c r="AA426">
        <f t="shared" si="39"/>
        <v>-16.643461056811951</v>
      </c>
      <c r="AB426">
        <f t="shared" si="42"/>
        <v>0.63909697400592513</v>
      </c>
    </row>
    <row r="427" spans="23:28" x14ac:dyDescent="0.3">
      <c r="W427">
        <f t="shared" si="40"/>
        <v>1.2109069376156516</v>
      </c>
      <c r="Z427">
        <f t="shared" si="41"/>
        <v>21</v>
      </c>
      <c r="AA427">
        <f t="shared" si="39"/>
        <v>-16.671267405032005</v>
      </c>
      <c r="AB427">
        <f t="shared" si="42"/>
        <v>0.60781973946339873</v>
      </c>
    </row>
    <row r="428" spans="23:28" x14ac:dyDescent="0.3">
      <c r="W428">
        <f t="shared" si="40"/>
        <v>1.2551481159424072</v>
      </c>
      <c r="Z428">
        <f t="shared" si="41"/>
        <v>21</v>
      </c>
      <c r="AA428">
        <f t="shared" si="39"/>
        <v>-16.715508583358762</v>
      </c>
      <c r="AB428">
        <f t="shared" si="42"/>
        <v>0.57612627611480016</v>
      </c>
    </row>
    <row r="429" spans="23:28" x14ac:dyDescent="0.3">
      <c r="W429">
        <f t="shared" si="40"/>
        <v>1.338434015864528</v>
      </c>
      <c r="Z429">
        <f t="shared" si="41"/>
        <v>21</v>
      </c>
      <c r="AA429">
        <f t="shared" si="39"/>
        <v>-16.798794483280883</v>
      </c>
      <c r="AB429">
        <f t="shared" si="42"/>
        <v>0.53973940308666546</v>
      </c>
    </row>
    <row r="430" spans="23:28" x14ac:dyDescent="0.3">
      <c r="W430">
        <f t="shared" si="40"/>
        <v>1.4752504388228256</v>
      </c>
      <c r="Z430">
        <f t="shared" si="41"/>
        <v>21</v>
      </c>
      <c r="AA430">
        <f t="shared" si="39"/>
        <v>-16.93561090623918</v>
      </c>
      <c r="AB430">
        <f t="shared" si="42"/>
        <v>0.50459598065778399</v>
      </c>
    </row>
    <row r="431" spans="23:28" x14ac:dyDescent="0.3">
      <c r="W431">
        <f t="shared" si="40"/>
        <v>1.7500498409303191</v>
      </c>
      <c r="Z431">
        <f t="shared" si="41"/>
        <v>21</v>
      </c>
      <c r="AA431">
        <f t="shared" si="39"/>
        <v>-17.210410308346674</v>
      </c>
      <c r="AB431">
        <f t="shared" si="42"/>
        <v>0.4654409702187336</v>
      </c>
    </row>
    <row r="432" spans="23:28" x14ac:dyDescent="0.3">
      <c r="W432">
        <f t="shared" si="40"/>
        <v>2.1966564988861639</v>
      </c>
      <c r="Z432">
        <f t="shared" si="41"/>
        <v>21</v>
      </c>
      <c r="AA432">
        <f t="shared" si="39"/>
        <v>-17.657016966302518</v>
      </c>
      <c r="AB432">
        <f t="shared" si="42"/>
        <v>0.43134659976949657</v>
      </c>
    </row>
    <row r="433" spans="23:28" x14ac:dyDescent="0.3">
      <c r="W433">
        <f t="shared" si="40"/>
        <v>2.2783011649994576</v>
      </c>
      <c r="Z433">
        <f t="shared" si="41"/>
        <v>21</v>
      </c>
      <c r="AA433">
        <f t="shared" si="39"/>
        <v>-17.738661632415813</v>
      </c>
      <c r="AB433">
        <f t="shared" si="42"/>
        <v>0.42690955700104</v>
      </c>
    </row>
    <row r="434" spans="23:28" x14ac:dyDescent="0.3">
      <c r="W434">
        <f t="shared" si="40"/>
        <v>0</v>
      </c>
      <c r="Z434">
        <f t="shared" si="41"/>
        <v>22</v>
      </c>
      <c r="AA434">
        <f t="shared" si="39"/>
        <v>-17.738661632415809</v>
      </c>
      <c r="AB434">
        <f t="shared" si="42"/>
        <v>0.77145643900915783</v>
      </c>
    </row>
    <row r="435" spans="23:28" x14ac:dyDescent="0.3">
      <c r="W435">
        <f t="shared" si="40"/>
        <v>1.1429999999999998</v>
      </c>
      <c r="Z435">
        <f t="shared" si="41"/>
        <v>22</v>
      </c>
      <c r="AA435">
        <f t="shared" si="39"/>
        <v>-18.88166163241581</v>
      </c>
      <c r="AB435">
        <f t="shared" si="42"/>
        <v>0.77145643900915783</v>
      </c>
    </row>
    <row r="436" spans="23:28" x14ac:dyDescent="0.3">
      <c r="W436">
        <f t="shared" si="40"/>
        <v>1.1429999999999998</v>
      </c>
      <c r="Z436">
        <f t="shared" si="41"/>
        <v>22</v>
      </c>
      <c r="AA436">
        <f t="shared" si="39"/>
        <v>-18.88166163241581</v>
      </c>
      <c r="AB436">
        <f t="shared" si="42"/>
        <v>0.77068498257014872</v>
      </c>
    </row>
    <row r="437" spans="23:28" x14ac:dyDescent="0.3">
      <c r="W437">
        <f t="shared" si="40"/>
        <v>1.1430009999999997</v>
      </c>
      <c r="Z437">
        <f t="shared" si="41"/>
        <v>22</v>
      </c>
      <c r="AA437">
        <f t="shared" si="39"/>
        <v>-18.881662632415807</v>
      </c>
      <c r="AB437">
        <f t="shared" si="42"/>
        <v>0.77067300983892906</v>
      </c>
    </row>
    <row r="438" spans="23:28" x14ac:dyDescent="0.3">
      <c r="W438">
        <f t="shared" si="40"/>
        <v>1.1435498904157428</v>
      </c>
      <c r="Z438">
        <f t="shared" si="41"/>
        <v>22</v>
      </c>
      <c r="AA438">
        <f t="shared" si="39"/>
        <v>-18.88221152283155</v>
      </c>
      <c r="AB438">
        <f t="shared" si="42"/>
        <v>0.76448695437332481</v>
      </c>
    </row>
    <row r="439" spans="23:28" x14ac:dyDescent="0.3">
      <c r="W439">
        <f t="shared" si="40"/>
        <v>1.1455954702393722</v>
      </c>
      <c r="Z439">
        <f t="shared" si="41"/>
        <v>22</v>
      </c>
      <c r="AA439">
        <f t="shared" si="39"/>
        <v>-18.88425710265518</v>
      </c>
      <c r="AB439">
        <f t="shared" si="42"/>
        <v>0.7462179928210797</v>
      </c>
    </row>
    <row r="440" spans="23:28" x14ac:dyDescent="0.3">
      <c r="W440">
        <f t="shared" si="40"/>
        <v>1.1480120980280246</v>
      </c>
      <c r="Z440">
        <f t="shared" si="41"/>
        <v>22</v>
      </c>
      <c r="AA440">
        <f t="shared" si="39"/>
        <v>-18.886673730443835</v>
      </c>
      <c r="AB440">
        <f t="shared" si="42"/>
        <v>0.73027266839631366</v>
      </c>
    </row>
    <row r="441" spans="23:28" x14ac:dyDescent="0.3">
      <c r="W441">
        <f t="shared" si="40"/>
        <v>1.1521461796584274</v>
      </c>
      <c r="Z441">
        <f t="shared" si="41"/>
        <v>22</v>
      </c>
      <c r="AA441">
        <f t="shared" ref="AA441:AA504" si="43">$AA$55-(Z441-1)*$X$51-W441</f>
        <v>-18.890807812074236</v>
      </c>
      <c r="AB441">
        <f t="shared" si="42"/>
        <v>0.7101552774493437</v>
      </c>
    </row>
    <row r="442" spans="23:28" x14ac:dyDescent="0.3">
      <c r="W442">
        <f t="shared" si="40"/>
        <v>1.157464405515152</v>
      </c>
      <c r="Z442">
        <f t="shared" si="41"/>
        <v>22</v>
      </c>
      <c r="AA442">
        <f t="shared" si="43"/>
        <v>-18.896126037930962</v>
      </c>
      <c r="AB442">
        <f t="shared" si="42"/>
        <v>0.69122254011085482</v>
      </c>
    </row>
    <row r="443" spans="23:28" x14ac:dyDescent="0.3">
      <c r="W443">
        <f t="shared" si="40"/>
        <v>1.167916082410517</v>
      </c>
      <c r="Z443">
        <f t="shared" si="41"/>
        <v>22</v>
      </c>
      <c r="AA443">
        <f t="shared" si="43"/>
        <v>-18.906577714826327</v>
      </c>
      <c r="AB443">
        <f t="shared" si="42"/>
        <v>0.66499411019811316</v>
      </c>
    </row>
    <row r="444" spans="23:28" x14ac:dyDescent="0.3">
      <c r="W444">
        <f t="shared" si="40"/>
        <v>1.183100589395595</v>
      </c>
      <c r="Z444">
        <f t="shared" si="41"/>
        <v>22</v>
      </c>
      <c r="AA444">
        <f t="shared" si="43"/>
        <v>-18.921762221811406</v>
      </c>
      <c r="AB444">
        <f t="shared" si="42"/>
        <v>0.63909697400592513</v>
      </c>
    </row>
    <row r="445" spans="23:28" x14ac:dyDescent="0.3">
      <c r="W445">
        <f t="shared" si="40"/>
        <v>1.2109069376156516</v>
      </c>
      <c r="Z445">
        <f t="shared" si="41"/>
        <v>22</v>
      </c>
      <c r="AA445">
        <f t="shared" si="43"/>
        <v>-18.94956857003146</v>
      </c>
      <c r="AB445">
        <f t="shared" si="42"/>
        <v>0.60781973946339873</v>
      </c>
    </row>
    <row r="446" spans="23:28" x14ac:dyDescent="0.3">
      <c r="W446">
        <f t="shared" si="40"/>
        <v>1.2551481159424072</v>
      </c>
      <c r="Z446">
        <f t="shared" si="41"/>
        <v>22</v>
      </c>
      <c r="AA446">
        <f t="shared" si="43"/>
        <v>-18.993809748358217</v>
      </c>
      <c r="AB446">
        <f t="shared" si="42"/>
        <v>0.57612627611480016</v>
      </c>
    </row>
    <row r="447" spans="23:28" x14ac:dyDescent="0.3">
      <c r="W447">
        <f t="shared" si="40"/>
        <v>1.338434015864528</v>
      </c>
      <c r="Z447">
        <f t="shared" si="41"/>
        <v>22</v>
      </c>
      <c r="AA447">
        <f t="shared" si="43"/>
        <v>-19.077095648280338</v>
      </c>
      <c r="AB447">
        <f t="shared" si="42"/>
        <v>0.53973940308666546</v>
      </c>
    </row>
    <row r="448" spans="23:28" x14ac:dyDescent="0.3">
      <c r="W448">
        <f t="shared" si="40"/>
        <v>1.4752504388228256</v>
      </c>
      <c r="Z448">
        <f t="shared" si="41"/>
        <v>22</v>
      </c>
      <c r="AA448">
        <f t="shared" si="43"/>
        <v>-19.213912071238635</v>
      </c>
      <c r="AB448">
        <f t="shared" si="42"/>
        <v>0.50459598065778399</v>
      </c>
    </row>
    <row r="449" spans="23:28" x14ac:dyDescent="0.3">
      <c r="W449">
        <f t="shared" si="40"/>
        <v>1.7500498409303191</v>
      </c>
      <c r="Z449">
        <f t="shared" si="41"/>
        <v>22</v>
      </c>
      <c r="AA449">
        <f t="shared" si="43"/>
        <v>-19.488711473346129</v>
      </c>
      <c r="AB449">
        <f t="shared" si="42"/>
        <v>0.4654409702187336</v>
      </c>
    </row>
    <row r="450" spans="23:28" x14ac:dyDescent="0.3">
      <c r="W450">
        <f t="shared" si="40"/>
        <v>2.1966564988861639</v>
      </c>
      <c r="Z450">
        <f t="shared" si="41"/>
        <v>22</v>
      </c>
      <c r="AA450">
        <f t="shared" si="43"/>
        <v>-19.935318131301972</v>
      </c>
      <c r="AB450">
        <f t="shared" si="42"/>
        <v>0.43134659976949657</v>
      </c>
    </row>
    <row r="451" spans="23:28" x14ac:dyDescent="0.3">
      <c r="W451">
        <f t="shared" si="40"/>
        <v>2.2783011649994576</v>
      </c>
      <c r="Z451">
        <f t="shared" si="41"/>
        <v>22</v>
      </c>
      <c r="AA451">
        <f t="shared" si="43"/>
        <v>-20.016962797415268</v>
      </c>
      <c r="AB451">
        <f t="shared" si="42"/>
        <v>0.42690955700104</v>
      </c>
    </row>
    <row r="452" spans="23:28" x14ac:dyDescent="0.3">
      <c r="W452">
        <f t="shared" si="40"/>
        <v>0</v>
      </c>
      <c r="Z452">
        <f t="shared" si="41"/>
        <v>23</v>
      </c>
      <c r="AA452">
        <f t="shared" si="43"/>
        <v>-20.016962797415264</v>
      </c>
      <c r="AB452">
        <f t="shared" si="42"/>
        <v>0.77145643900915783</v>
      </c>
    </row>
    <row r="453" spans="23:28" x14ac:dyDescent="0.3">
      <c r="W453">
        <f t="shared" si="40"/>
        <v>1.1429999999999998</v>
      </c>
      <c r="Z453">
        <f t="shared" si="41"/>
        <v>23</v>
      </c>
      <c r="AA453">
        <f t="shared" si="43"/>
        <v>-21.159962797415265</v>
      </c>
      <c r="AB453">
        <f t="shared" si="42"/>
        <v>0.77145643900915783</v>
      </c>
    </row>
    <row r="454" spans="23:28" x14ac:dyDescent="0.3">
      <c r="W454">
        <f t="shared" si="40"/>
        <v>1.1429999999999998</v>
      </c>
      <c r="Z454">
        <f t="shared" si="41"/>
        <v>23</v>
      </c>
      <c r="AA454">
        <f t="shared" si="43"/>
        <v>-21.159962797415265</v>
      </c>
      <c r="AB454">
        <f t="shared" si="42"/>
        <v>0.77068498257014872</v>
      </c>
    </row>
    <row r="455" spans="23:28" x14ac:dyDescent="0.3">
      <c r="W455">
        <f t="shared" si="40"/>
        <v>1.1430009999999997</v>
      </c>
      <c r="Z455">
        <f t="shared" si="41"/>
        <v>23</v>
      </c>
      <c r="AA455">
        <f t="shared" si="43"/>
        <v>-21.159963797415262</v>
      </c>
      <c r="AB455">
        <f t="shared" si="42"/>
        <v>0.77067300983892906</v>
      </c>
    </row>
    <row r="456" spans="23:28" x14ac:dyDescent="0.3">
      <c r="W456">
        <f t="shared" si="40"/>
        <v>1.1435498904157428</v>
      </c>
      <c r="Z456">
        <f t="shared" si="41"/>
        <v>23</v>
      </c>
      <c r="AA456">
        <f t="shared" si="43"/>
        <v>-21.160512687831005</v>
      </c>
      <c r="AB456">
        <f t="shared" si="42"/>
        <v>0.76448695437332481</v>
      </c>
    </row>
    <row r="457" spans="23:28" x14ac:dyDescent="0.3">
      <c r="W457">
        <f t="shared" si="40"/>
        <v>1.1455954702393722</v>
      </c>
      <c r="Z457">
        <f t="shared" si="41"/>
        <v>23</v>
      </c>
      <c r="AA457">
        <f t="shared" si="43"/>
        <v>-21.162558267654635</v>
      </c>
      <c r="AB457">
        <f t="shared" si="42"/>
        <v>0.7462179928210797</v>
      </c>
    </row>
    <row r="458" spans="23:28" x14ac:dyDescent="0.3">
      <c r="W458">
        <f t="shared" si="40"/>
        <v>1.1480120980280246</v>
      </c>
      <c r="Z458">
        <f t="shared" si="41"/>
        <v>23</v>
      </c>
      <c r="AA458">
        <f t="shared" si="43"/>
        <v>-21.16497489544329</v>
      </c>
      <c r="AB458">
        <f t="shared" si="42"/>
        <v>0.73027266839631366</v>
      </c>
    </row>
    <row r="459" spans="23:28" x14ac:dyDescent="0.3">
      <c r="W459">
        <f t="shared" ref="W459:W522" si="44">W441</f>
        <v>1.1521461796584274</v>
      </c>
      <c r="Z459">
        <f t="shared" ref="Z459:Z522" si="45">Z441+1</f>
        <v>23</v>
      </c>
      <c r="AA459">
        <f t="shared" si="43"/>
        <v>-21.169108977073691</v>
      </c>
      <c r="AB459">
        <f t="shared" ref="AB459:AB522" si="46">AB441</f>
        <v>0.7101552774493437</v>
      </c>
    </row>
    <row r="460" spans="23:28" x14ac:dyDescent="0.3">
      <c r="W460">
        <f t="shared" si="44"/>
        <v>1.157464405515152</v>
      </c>
      <c r="Z460">
        <f t="shared" si="45"/>
        <v>23</v>
      </c>
      <c r="AA460">
        <f t="shared" si="43"/>
        <v>-21.174427202930417</v>
      </c>
      <c r="AB460">
        <f t="shared" si="46"/>
        <v>0.69122254011085482</v>
      </c>
    </row>
    <row r="461" spans="23:28" x14ac:dyDescent="0.3">
      <c r="W461">
        <f t="shared" si="44"/>
        <v>1.167916082410517</v>
      </c>
      <c r="Z461">
        <f t="shared" si="45"/>
        <v>23</v>
      </c>
      <c r="AA461">
        <f t="shared" si="43"/>
        <v>-21.184878879825781</v>
      </c>
      <c r="AB461">
        <f t="shared" si="46"/>
        <v>0.66499411019811316</v>
      </c>
    </row>
    <row r="462" spans="23:28" x14ac:dyDescent="0.3">
      <c r="W462">
        <f t="shared" si="44"/>
        <v>1.183100589395595</v>
      </c>
      <c r="Z462">
        <f t="shared" si="45"/>
        <v>23</v>
      </c>
      <c r="AA462">
        <f t="shared" si="43"/>
        <v>-21.200063386810861</v>
      </c>
      <c r="AB462">
        <f t="shared" si="46"/>
        <v>0.63909697400592513</v>
      </c>
    </row>
    <row r="463" spans="23:28" x14ac:dyDescent="0.3">
      <c r="W463">
        <f t="shared" si="44"/>
        <v>1.2109069376156516</v>
      </c>
      <c r="Z463">
        <f t="shared" si="45"/>
        <v>23</v>
      </c>
      <c r="AA463">
        <f t="shared" si="43"/>
        <v>-21.227869735030914</v>
      </c>
      <c r="AB463">
        <f t="shared" si="46"/>
        <v>0.60781973946339873</v>
      </c>
    </row>
    <row r="464" spans="23:28" x14ac:dyDescent="0.3">
      <c r="W464">
        <f t="shared" si="44"/>
        <v>1.2551481159424072</v>
      </c>
      <c r="Z464">
        <f t="shared" si="45"/>
        <v>23</v>
      </c>
      <c r="AA464">
        <f t="shared" si="43"/>
        <v>-21.272110913357672</v>
      </c>
      <c r="AB464">
        <f t="shared" si="46"/>
        <v>0.57612627611480016</v>
      </c>
    </row>
    <row r="465" spans="23:28" x14ac:dyDescent="0.3">
      <c r="W465">
        <f t="shared" si="44"/>
        <v>1.338434015864528</v>
      </c>
      <c r="Z465">
        <f t="shared" si="45"/>
        <v>23</v>
      </c>
      <c r="AA465">
        <f t="shared" si="43"/>
        <v>-21.355396813279793</v>
      </c>
      <c r="AB465">
        <f t="shared" si="46"/>
        <v>0.53973940308666546</v>
      </c>
    </row>
    <row r="466" spans="23:28" x14ac:dyDescent="0.3">
      <c r="W466">
        <f t="shared" si="44"/>
        <v>1.4752504388228256</v>
      </c>
      <c r="Z466">
        <f t="shared" si="45"/>
        <v>23</v>
      </c>
      <c r="AA466">
        <f t="shared" si="43"/>
        <v>-21.49221323623809</v>
      </c>
      <c r="AB466">
        <f t="shared" si="46"/>
        <v>0.50459598065778399</v>
      </c>
    </row>
    <row r="467" spans="23:28" x14ac:dyDescent="0.3">
      <c r="W467">
        <f t="shared" si="44"/>
        <v>1.7500498409303191</v>
      </c>
      <c r="Z467">
        <f t="shared" si="45"/>
        <v>23</v>
      </c>
      <c r="AA467">
        <f t="shared" si="43"/>
        <v>-21.767012638345584</v>
      </c>
      <c r="AB467">
        <f t="shared" si="46"/>
        <v>0.4654409702187336</v>
      </c>
    </row>
    <row r="468" spans="23:28" x14ac:dyDescent="0.3">
      <c r="W468">
        <f t="shared" si="44"/>
        <v>2.1966564988861639</v>
      </c>
      <c r="Z468">
        <f t="shared" si="45"/>
        <v>23</v>
      </c>
      <c r="AA468">
        <f t="shared" si="43"/>
        <v>-22.213619296301427</v>
      </c>
      <c r="AB468">
        <f t="shared" si="46"/>
        <v>0.43134659976949657</v>
      </c>
    </row>
    <row r="469" spans="23:28" x14ac:dyDescent="0.3">
      <c r="W469">
        <f t="shared" si="44"/>
        <v>2.2783011649994576</v>
      </c>
      <c r="Z469">
        <f t="shared" si="45"/>
        <v>23</v>
      </c>
      <c r="AA469">
        <f t="shared" si="43"/>
        <v>-22.295263962414722</v>
      </c>
      <c r="AB469">
        <f t="shared" si="46"/>
        <v>0.42690955700104</v>
      </c>
    </row>
    <row r="470" spans="23:28" x14ac:dyDescent="0.3">
      <c r="W470">
        <f t="shared" si="44"/>
        <v>0</v>
      </c>
      <c r="Z470">
        <f t="shared" si="45"/>
        <v>24</v>
      </c>
      <c r="AA470">
        <f t="shared" si="43"/>
        <v>-22.295263962414726</v>
      </c>
      <c r="AB470">
        <f t="shared" si="46"/>
        <v>0.77145643900915783</v>
      </c>
    </row>
    <row r="471" spans="23:28" x14ac:dyDescent="0.3">
      <c r="W471">
        <f t="shared" si="44"/>
        <v>1.1429999999999998</v>
      </c>
      <c r="Z471">
        <f t="shared" si="45"/>
        <v>24</v>
      </c>
      <c r="AA471">
        <f t="shared" si="43"/>
        <v>-23.438263962414727</v>
      </c>
      <c r="AB471">
        <f t="shared" si="46"/>
        <v>0.77145643900915783</v>
      </c>
    </row>
    <row r="472" spans="23:28" x14ac:dyDescent="0.3">
      <c r="W472">
        <f t="shared" si="44"/>
        <v>1.1429999999999998</v>
      </c>
      <c r="Z472">
        <f t="shared" si="45"/>
        <v>24</v>
      </c>
      <c r="AA472">
        <f t="shared" si="43"/>
        <v>-23.438263962414727</v>
      </c>
      <c r="AB472">
        <f t="shared" si="46"/>
        <v>0.77068498257014872</v>
      </c>
    </row>
    <row r="473" spans="23:28" x14ac:dyDescent="0.3">
      <c r="W473">
        <f t="shared" si="44"/>
        <v>1.1430009999999997</v>
      </c>
      <c r="Z473">
        <f t="shared" si="45"/>
        <v>24</v>
      </c>
      <c r="AA473">
        <f t="shared" si="43"/>
        <v>-23.438264962414724</v>
      </c>
      <c r="AB473">
        <f t="shared" si="46"/>
        <v>0.77067300983892906</v>
      </c>
    </row>
    <row r="474" spans="23:28" x14ac:dyDescent="0.3">
      <c r="W474">
        <f t="shared" si="44"/>
        <v>1.1435498904157428</v>
      </c>
      <c r="Z474">
        <f t="shared" si="45"/>
        <v>24</v>
      </c>
      <c r="AA474">
        <f t="shared" si="43"/>
        <v>-23.438813852830467</v>
      </c>
      <c r="AB474">
        <f t="shared" si="46"/>
        <v>0.76448695437332481</v>
      </c>
    </row>
    <row r="475" spans="23:28" x14ac:dyDescent="0.3">
      <c r="W475">
        <f t="shared" si="44"/>
        <v>1.1455954702393722</v>
      </c>
      <c r="Z475">
        <f t="shared" si="45"/>
        <v>24</v>
      </c>
      <c r="AA475">
        <f t="shared" si="43"/>
        <v>-23.440859432654097</v>
      </c>
      <c r="AB475">
        <f t="shared" si="46"/>
        <v>0.7462179928210797</v>
      </c>
    </row>
    <row r="476" spans="23:28" x14ac:dyDescent="0.3">
      <c r="W476">
        <f t="shared" si="44"/>
        <v>1.1480120980280246</v>
      </c>
      <c r="Z476">
        <f t="shared" si="45"/>
        <v>24</v>
      </c>
      <c r="AA476">
        <f t="shared" si="43"/>
        <v>-23.443276060442752</v>
      </c>
      <c r="AB476">
        <f t="shared" si="46"/>
        <v>0.73027266839631366</v>
      </c>
    </row>
    <row r="477" spans="23:28" x14ac:dyDescent="0.3">
      <c r="W477">
        <f t="shared" si="44"/>
        <v>1.1521461796584274</v>
      </c>
      <c r="Z477">
        <f t="shared" si="45"/>
        <v>24</v>
      </c>
      <c r="AA477">
        <f t="shared" si="43"/>
        <v>-23.447410142073153</v>
      </c>
      <c r="AB477">
        <f t="shared" si="46"/>
        <v>0.7101552774493437</v>
      </c>
    </row>
    <row r="478" spans="23:28" x14ac:dyDescent="0.3">
      <c r="W478">
        <f t="shared" si="44"/>
        <v>1.157464405515152</v>
      </c>
      <c r="Z478">
        <f t="shared" si="45"/>
        <v>24</v>
      </c>
      <c r="AA478">
        <f t="shared" si="43"/>
        <v>-23.452728367929879</v>
      </c>
      <c r="AB478">
        <f t="shared" si="46"/>
        <v>0.69122254011085482</v>
      </c>
    </row>
    <row r="479" spans="23:28" x14ac:dyDescent="0.3">
      <c r="W479">
        <f t="shared" si="44"/>
        <v>1.167916082410517</v>
      </c>
      <c r="Z479">
        <f t="shared" si="45"/>
        <v>24</v>
      </c>
      <c r="AA479">
        <f t="shared" si="43"/>
        <v>-23.463180044825243</v>
      </c>
      <c r="AB479">
        <f t="shared" si="46"/>
        <v>0.66499411019811316</v>
      </c>
    </row>
    <row r="480" spans="23:28" x14ac:dyDescent="0.3">
      <c r="W480">
        <f t="shared" si="44"/>
        <v>1.183100589395595</v>
      </c>
      <c r="Z480">
        <f t="shared" si="45"/>
        <v>24</v>
      </c>
      <c r="AA480">
        <f t="shared" si="43"/>
        <v>-23.478364551810323</v>
      </c>
      <c r="AB480">
        <f t="shared" si="46"/>
        <v>0.63909697400592513</v>
      </c>
    </row>
    <row r="481" spans="23:28" x14ac:dyDescent="0.3">
      <c r="W481">
        <f t="shared" si="44"/>
        <v>1.2109069376156516</v>
      </c>
      <c r="Z481">
        <f t="shared" si="45"/>
        <v>24</v>
      </c>
      <c r="AA481">
        <f t="shared" si="43"/>
        <v>-23.506170900030376</v>
      </c>
      <c r="AB481">
        <f t="shared" si="46"/>
        <v>0.60781973946339873</v>
      </c>
    </row>
    <row r="482" spans="23:28" x14ac:dyDescent="0.3">
      <c r="W482">
        <f t="shared" si="44"/>
        <v>1.2551481159424072</v>
      </c>
      <c r="Z482">
        <f t="shared" si="45"/>
        <v>24</v>
      </c>
      <c r="AA482">
        <f t="shared" si="43"/>
        <v>-23.550412078357134</v>
      </c>
      <c r="AB482">
        <f t="shared" si="46"/>
        <v>0.57612627611480016</v>
      </c>
    </row>
    <row r="483" spans="23:28" x14ac:dyDescent="0.3">
      <c r="W483">
        <f t="shared" si="44"/>
        <v>1.338434015864528</v>
      </c>
      <c r="Z483">
        <f t="shared" si="45"/>
        <v>24</v>
      </c>
      <c r="AA483">
        <f t="shared" si="43"/>
        <v>-23.633697978279255</v>
      </c>
      <c r="AB483">
        <f t="shared" si="46"/>
        <v>0.53973940308666546</v>
      </c>
    </row>
    <row r="484" spans="23:28" x14ac:dyDescent="0.3">
      <c r="W484">
        <f t="shared" si="44"/>
        <v>1.4752504388228256</v>
      </c>
      <c r="Z484">
        <f t="shared" si="45"/>
        <v>24</v>
      </c>
      <c r="AA484">
        <f t="shared" si="43"/>
        <v>-23.770514401237552</v>
      </c>
      <c r="AB484">
        <f t="shared" si="46"/>
        <v>0.50459598065778399</v>
      </c>
    </row>
    <row r="485" spans="23:28" x14ac:dyDescent="0.3">
      <c r="W485">
        <f t="shared" si="44"/>
        <v>1.7500498409303191</v>
      </c>
      <c r="Z485">
        <f t="shared" si="45"/>
        <v>24</v>
      </c>
      <c r="AA485">
        <f t="shared" si="43"/>
        <v>-24.045313803345046</v>
      </c>
      <c r="AB485">
        <f t="shared" si="46"/>
        <v>0.4654409702187336</v>
      </c>
    </row>
    <row r="486" spans="23:28" x14ac:dyDescent="0.3">
      <c r="W486">
        <f t="shared" si="44"/>
        <v>2.1966564988861639</v>
      </c>
      <c r="Z486">
        <f t="shared" si="45"/>
        <v>24</v>
      </c>
      <c r="AA486">
        <f t="shared" si="43"/>
        <v>-24.491920461300889</v>
      </c>
      <c r="AB486">
        <f t="shared" si="46"/>
        <v>0.43134659976949657</v>
      </c>
    </row>
    <row r="487" spans="23:28" x14ac:dyDescent="0.3">
      <c r="W487">
        <f t="shared" si="44"/>
        <v>2.2783011649994576</v>
      </c>
      <c r="Z487">
        <f t="shared" si="45"/>
        <v>24</v>
      </c>
      <c r="AA487">
        <f t="shared" si="43"/>
        <v>-24.573565127414184</v>
      </c>
      <c r="AB487">
        <f t="shared" si="46"/>
        <v>0.42690955700104</v>
      </c>
    </row>
    <row r="488" spans="23:28" x14ac:dyDescent="0.3">
      <c r="W488">
        <f t="shared" si="44"/>
        <v>0</v>
      </c>
      <c r="Z488">
        <f t="shared" si="45"/>
        <v>25</v>
      </c>
      <c r="AA488">
        <f t="shared" si="43"/>
        <v>-24.573565127414181</v>
      </c>
      <c r="AB488">
        <f t="shared" si="46"/>
        <v>0.77145643900915783</v>
      </c>
    </row>
    <row r="489" spans="23:28" x14ac:dyDescent="0.3">
      <c r="W489">
        <f t="shared" si="44"/>
        <v>1.1429999999999998</v>
      </c>
      <c r="Z489">
        <f t="shared" si="45"/>
        <v>25</v>
      </c>
      <c r="AA489">
        <f t="shared" si="43"/>
        <v>-25.716565127414182</v>
      </c>
      <c r="AB489">
        <f t="shared" si="46"/>
        <v>0.77145643900915783</v>
      </c>
    </row>
    <row r="490" spans="23:28" x14ac:dyDescent="0.3">
      <c r="W490">
        <f t="shared" si="44"/>
        <v>1.1429999999999998</v>
      </c>
      <c r="Z490">
        <f t="shared" si="45"/>
        <v>25</v>
      </c>
      <c r="AA490">
        <f t="shared" si="43"/>
        <v>-25.716565127414182</v>
      </c>
      <c r="AB490">
        <f t="shared" si="46"/>
        <v>0.77068498257014872</v>
      </c>
    </row>
    <row r="491" spans="23:28" x14ac:dyDescent="0.3">
      <c r="W491">
        <f t="shared" si="44"/>
        <v>1.1430009999999997</v>
      </c>
      <c r="Z491">
        <f t="shared" si="45"/>
        <v>25</v>
      </c>
      <c r="AA491">
        <f t="shared" si="43"/>
        <v>-25.716566127414179</v>
      </c>
      <c r="AB491">
        <f t="shared" si="46"/>
        <v>0.77067300983892906</v>
      </c>
    </row>
    <row r="492" spans="23:28" x14ac:dyDescent="0.3">
      <c r="W492">
        <f t="shared" si="44"/>
        <v>1.1435498904157428</v>
      </c>
      <c r="Z492">
        <f t="shared" si="45"/>
        <v>25</v>
      </c>
      <c r="AA492">
        <f t="shared" si="43"/>
        <v>-25.717115017829922</v>
      </c>
      <c r="AB492">
        <f t="shared" si="46"/>
        <v>0.76448695437332481</v>
      </c>
    </row>
    <row r="493" spans="23:28" x14ac:dyDescent="0.3">
      <c r="W493">
        <f t="shared" si="44"/>
        <v>1.1455954702393722</v>
      </c>
      <c r="Z493">
        <f t="shared" si="45"/>
        <v>25</v>
      </c>
      <c r="AA493">
        <f t="shared" si="43"/>
        <v>-25.719160597653552</v>
      </c>
      <c r="AB493">
        <f t="shared" si="46"/>
        <v>0.7462179928210797</v>
      </c>
    </row>
    <row r="494" spans="23:28" x14ac:dyDescent="0.3">
      <c r="W494">
        <f t="shared" si="44"/>
        <v>1.1480120980280246</v>
      </c>
      <c r="Z494">
        <f t="shared" si="45"/>
        <v>25</v>
      </c>
      <c r="AA494">
        <f t="shared" si="43"/>
        <v>-25.721577225442207</v>
      </c>
      <c r="AB494">
        <f t="shared" si="46"/>
        <v>0.73027266839631366</v>
      </c>
    </row>
    <row r="495" spans="23:28" x14ac:dyDescent="0.3">
      <c r="W495">
        <f t="shared" si="44"/>
        <v>1.1521461796584274</v>
      </c>
      <c r="Z495">
        <f t="shared" si="45"/>
        <v>25</v>
      </c>
      <c r="AA495">
        <f t="shared" si="43"/>
        <v>-25.725711307072608</v>
      </c>
      <c r="AB495">
        <f t="shared" si="46"/>
        <v>0.7101552774493437</v>
      </c>
    </row>
    <row r="496" spans="23:28" x14ac:dyDescent="0.3">
      <c r="W496">
        <f t="shared" si="44"/>
        <v>1.157464405515152</v>
      </c>
      <c r="Z496">
        <f t="shared" si="45"/>
        <v>25</v>
      </c>
      <c r="AA496">
        <f t="shared" si="43"/>
        <v>-25.731029532929334</v>
      </c>
      <c r="AB496">
        <f t="shared" si="46"/>
        <v>0.69122254011085482</v>
      </c>
    </row>
    <row r="497" spans="23:28" x14ac:dyDescent="0.3">
      <c r="W497">
        <f t="shared" si="44"/>
        <v>1.167916082410517</v>
      </c>
      <c r="Z497">
        <f t="shared" si="45"/>
        <v>25</v>
      </c>
      <c r="AA497">
        <f t="shared" si="43"/>
        <v>-25.741481209824698</v>
      </c>
      <c r="AB497">
        <f t="shared" si="46"/>
        <v>0.66499411019811316</v>
      </c>
    </row>
    <row r="498" spans="23:28" x14ac:dyDescent="0.3">
      <c r="W498">
        <f t="shared" si="44"/>
        <v>1.183100589395595</v>
      </c>
      <c r="Z498">
        <f t="shared" si="45"/>
        <v>25</v>
      </c>
      <c r="AA498">
        <f t="shared" si="43"/>
        <v>-25.756665716809778</v>
      </c>
      <c r="AB498">
        <f t="shared" si="46"/>
        <v>0.63909697400592513</v>
      </c>
    </row>
    <row r="499" spans="23:28" x14ac:dyDescent="0.3">
      <c r="W499">
        <f t="shared" si="44"/>
        <v>1.2109069376156516</v>
      </c>
      <c r="Z499">
        <f t="shared" si="45"/>
        <v>25</v>
      </c>
      <c r="AA499">
        <f t="shared" si="43"/>
        <v>-25.784472065029831</v>
      </c>
      <c r="AB499">
        <f t="shared" si="46"/>
        <v>0.60781973946339873</v>
      </c>
    </row>
    <row r="500" spans="23:28" x14ac:dyDescent="0.3">
      <c r="W500">
        <f t="shared" si="44"/>
        <v>1.2551481159424072</v>
      </c>
      <c r="Z500">
        <f t="shared" si="45"/>
        <v>25</v>
      </c>
      <c r="AA500">
        <f t="shared" si="43"/>
        <v>-25.828713243356589</v>
      </c>
      <c r="AB500">
        <f t="shared" si="46"/>
        <v>0.57612627611480016</v>
      </c>
    </row>
    <row r="501" spans="23:28" x14ac:dyDescent="0.3">
      <c r="W501">
        <f t="shared" si="44"/>
        <v>1.338434015864528</v>
      </c>
      <c r="Z501">
        <f t="shared" si="45"/>
        <v>25</v>
      </c>
      <c r="AA501">
        <f t="shared" si="43"/>
        <v>-25.91199914327871</v>
      </c>
      <c r="AB501">
        <f t="shared" si="46"/>
        <v>0.53973940308666546</v>
      </c>
    </row>
    <row r="502" spans="23:28" x14ac:dyDescent="0.3">
      <c r="W502">
        <f t="shared" si="44"/>
        <v>1.4752504388228256</v>
      </c>
      <c r="Z502">
        <f t="shared" si="45"/>
        <v>25</v>
      </c>
      <c r="AA502">
        <f t="shared" si="43"/>
        <v>-26.048815566237007</v>
      </c>
      <c r="AB502">
        <f t="shared" si="46"/>
        <v>0.50459598065778399</v>
      </c>
    </row>
    <row r="503" spans="23:28" x14ac:dyDescent="0.3">
      <c r="W503">
        <f t="shared" si="44"/>
        <v>1.7500498409303191</v>
      </c>
      <c r="Z503">
        <f t="shared" si="45"/>
        <v>25</v>
      </c>
      <c r="AA503">
        <f t="shared" si="43"/>
        <v>-26.323614968344501</v>
      </c>
      <c r="AB503">
        <f t="shared" si="46"/>
        <v>0.4654409702187336</v>
      </c>
    </row>
    <row r="504" spans="23:28" x14ac:dyDescent="0.3">
      <c r="W504">
        <f t="shared" si="44"/>
        <v>2.1966564988861639</v>
      </c>
      <c r="Z504">
        <f t="shared" si="45"/>
        <v>25</v>
      </c>
      <c r="AA504">
        <f t="shared" si="43"/>
        <v>-26.770221626300344</v>
      </c>
      <c r="AB504">
        <f t="shared" si="46"/>
        <v>0.43134659976949657</v>
      </c>
    </row>
    <row r="505" spans="23:28" x14ac:dyDescent="0.3">
      <c r="W505">
        <f t="shared" si="44"/>
        <v>2.2783011649994576</v>
      </c>
      <c r="Z505">
        <f t="shared" si="45"/>
        <v>25</v>
      </c>
      <c r="AA505">
        <f t="shared" ref="AA505:AA568" si="47">$AA$55-(Z505-1)*$X$51-W505</f>
        <v>-26.851866292413639</v>
      </c>
      <c r="AB505">
        <f t="shared" si="46"/>
        <v>0.42690955700104</v>
      </c>
    </row>
    <row r="506" spans="23:28" x14ac:dyDescent="0.3">
      <c r="W506">
        <f t="shared" si="44"/>
        <v>0</v>
      </c>
      <c r="Z506">
        <f t="shared" si="45"/>
        <v>26</v>
      </c>
      <c r="AA506">
        <f t="shared" si="47"/>
        <v>-26.851866292413636</v>
      </c>
      <c r="AB506">
        <f t="shared" si="46"/>
        <v>0.77145643900915783</v>
      </c>
    </row>
    <row r="507" spans="23:28" x14ac:dyDescent="0.3">
      <c r="W507">
        <f t="shared" si="44"/>
        <v>1.1429999999999998</v>
      </c>
      <c r="Z507">
        <f t="shared" si="45"/>
        <v>26</v>
      </c>
      <c r="AA507">
        <f t="shared" si="47"/>
        <v>-27.994866292413636</v>
      </c>
      <c r="AB507">
        <f t="shared" si="46"/>
        <v>0.77145643900915783</v>
      </c>
    </row>
    <row r="508" spans="23:28" x14ac:dyDescent="0.3">
      <c r="W508">
        <f t="shared" si="44"/>
        <v>1.1429999999999998</v>
      </c>
      <c r="Z508">
        <f t="shared" si="45"/>
        <v>26</v>
      </c>
      <c r="AA508">
        <f t="shared" si="47"/>
        <v>-27.994866292413636</v>
      </c>
      <c r="AB508">
        <f t="shared" si="46"/>
        <v>0.77068498257014872</v>
      </c>
    </row>
    <row r="509" spans="23:28" x14ac:dyDescent="0.3">
      <c r="W509">
        <f t="shared" si="44"/>
        <v>1.1430009999999997</v>
      </c>
      <c r="Z509">
        <f t="shared" si="45"/>
        <v>26</v>
      </c>
      <c r="AA509">
        <f t="shared" si="47"/>
        <v>-27.994867292413634</v>
      </c>
      <c r="AB509">
        <f t="shared" si="46"/>
        <v>0.77067300983892906</v>
      </c>
    </row>
    <row r="510" spans="23:28" x14ac:dyDescent="0.3">
      <c r="W510">
        <f t="shared" si="44"/>
        <v>1.1435498904157428</v>
      </c>
      <c r="Z510">
        <f t="shared" si="45"/>
        <v>26</v>
      </c>
      <c r="AA510">
        <f t="shared" si="47"/>
        <v>-27.995416182829377</v>
      </c>
      <c r="AB510">
        <f t="shared" si="46"/>
        <v>0.76448695437332481</v>
      </c>
    </row>
    <row r="511" spans="23:28" x14ac:dyDescent="0.3">
      <c r="W511">
        <f t="shared" si="44"/>
        <v>1.1455954702393722</v>
      </c>
      <c r="Z511">
        <f t="shared" si="45"/>
        <v>26</v>
      </c>
      <c r="AA511">
        <f t="shared" si="47"/>
        <v>-27.997461762653007</v>
      </c>
      <c r="AB511">
        <f t="shared" si="46"/>
        <v>0.7462179928210797</v>
      </c>
    </row>
    <row r="512" spans="23:28" x14ac:dyDescent="0.3">
      <c r="W512">
        <f t="shared" si="44"/>
        <v>1.1480120980280246</v>
      </c>
      <c r="Z512">
        <f t="shared" si="45"/>
        <v>26</v>
      </c>
      <c r="AA512">
        <f t="shared" si="47"/>
        <v>-27.999878390441662</v>
      </c>
      <c r="AB512">
        <f t="shared" si="46"/>
        <v>0.73027266839631366</v>
      </c>
    </row>
    <row r="513" spans="23:28" x14ac:dyDescent="0.3">
      <c r="W513">
        <f t="shared" si="44"/>
        <v>1.1521461796584274</v>
      </c>
      <c r="Z513">
        <f t="shared" si="45"/>
        <v>26</v>
      </c>
      <c r="AA513">
        <f t="shared" si="47"/>
        <v>-28.004012472072063</v>
      </c>
      <c r="AB513">
        <f t="shared" si="46"/>
        <v>0.7101552774493437</v>
      </c>
    </row>
    <row r="514" spans="23:28" x14ac:dyDescent="0.3">
      <c r="W514">
        <f t="shared" si="44"/>
        <v>1.157464405515152</v>
      </c>
      <c r="Z514">
        <f t="shared" si="45"/>
        <v>26</v>
      </c>
      <c r="AA514">
        <f t="shared" si="47"/>
        <v>-28.009330697928789</v>
      </c>
      <c r="AB514">
        <f t="shared" si="46"/>
        <v>0.69122254011085482</v>
      </c>
    </row>
    <row r="515" spans="23:28" x14ac:dyDescent="0.3">
      <c r="W515">
        <f t="shared" si="44"/>
        <v>1.167916082410517</v>
      </c>
      <c r="Z515">
        <f t="shared" si="45"/>
        <v>26</v>
      </c>
      <c r="AA515">
        <f t="shared" si="47"/>
        <v>-28.019782374824153</v>
      </c>
      <c r="AB515">
        <f t="shared" si="46"/>
        <v>0.66499411019811316</v>
      </c>
    </row>
    <row r="516" spans="23:28" x14ac:dyDescent="0.3">
      <c r="W516">
        <f t="shared" si="44"/>
        <v>1.183100589395595</v>
      </c>
      <c r="Z516">
        <f t="shared" si="45"/>
        <v>26</v>
      </c>
      <c r="AA516">
        <f t="shared" si="47"/>
        <v>-28.034966881809233</v>
      </c>
      <c r="AB516">
        <f t="shared" si="46"/>
        <v>0.63909697400592513</v>
      </c>
    </row>
    <row r="517" spans="23:28" x14ac:dyDescent="0.3">
      <c r="W517">
        <f t="shared" si="44"/>
        <v>1.2109069376156516</v>
      </c>
      <c r="Z517">
        <f t="shared" si="45"/>
        <v>26</v>
      </c>
      <c r="AA517">
        <f t="shared" si="47"/>
        <v>-28.062773230029286</v>
      </c>
      <c r="AB517">
        <f t="shared" si="46"/>
        <v>0.60781973946339873</v>
      </c>
    </row>
    <row r="518" spans="23:28" x14ac:dyDescent="0.3">
      <c r="W518">
        <f t="shared" si="44"/>
        <v>1.2551481159424072</v>
      </c>
      <c r="Z518">
        <f t="shared" si="45"/>
        <v>26</v>
      </c>
      <c r="AA518">
        <f t="shared" si="47"/>
        <v>-28.107014408356044</v>
      </c>
      <c r="AB518">
        <f t="shared" si="46"/>
        <v>0.57612627611480016</v>
      </c>
    </row>
    <row r="519" spans="23:28" x14ac:dyDescent="0.3">
      <c r="W519">
        <f t="shared" si="44"/>
        <v>1.338434015864528</v>
      </c>
      <c r="Z519">
        <f t="shared" si="45"/>
        <v>26</v>
      </c>
      <c r="AA519">
        <f t="shared" si="47"/>
        <v>-28.190300308278164</v>
      </c>
      <c r="AB519">
        <f t="shared" si="46"/>
        <v>0.53973940308666546</v>
      </c>
    </row>
    <row r="520" spans="23:28" x14ac:dyDescent="0.3">
      <c r="W520">
        <f t="shared" si="44"/>
        <v>1.4752504388228256</v>
      </c>
      <c r="Z520">
        <f t="shared" si="45"/>
        <v>26</v>
      </c>
      <c r="AA520">
        <f t="shared" si="47"/>
        <v>-28.327116731236462</v>
      </c>
      <c r="AB520">
        <f t="shared" si="46"/>
        <v>0.50459598065778399</v>
      </c>
    </row>
    <row r="521" spans="23:28" x14ac:dyDescent="0.3">
      <c r="W521">
        <f t="shared" si="44"/>
        <v>1.7500498409303191</v>
      </c>
      <c r="Z521">
        <f t="shared" si="45"/>
        <v>26</v>
      </c>
      <c r="AA521">
        <f t="shared" si="47"/>
        <v>-28.601916133343956</v>
      </c>
      <c r="AB521">
        <f t="shared" si="46"/>
        <v>0.4654409702187336</v>
      </c>
    </row>
    <row r="522" spans="23:28" x14ac:dyDescent="0.3">
      <c r="W522">
        <f t="shared" si="44"/>
        <v>2.1966564988861639</v>
      </c>
      <c r="Z522">
        <f t="shared" si="45"/>
        <v>26</v>
      </c>
      <c r="AA522">
        <f t="shared" si="47"/>
        <v>-29.048522791299799</v>
      </c>
      <c r="AB522">
        <f t="shared" si="46"/>
        <v>0.43134659976949657</v>
      </c>
    </row>
    <row r="523" spans="23:28" x14ac:dyDescent="0.3">
      <c r="W523">
        <f t="shared" ref="W523:W586" si="48">W505</f>
        <v>2.2783011649994576</v>
      </c>
      <c r="Z523">
        <f t="shared" ref="Z523:Z586" si="49">Z505+1</f>
        <v>26</v>
      </c>
      <c r="AA523">
        <f t="shared" si="47"/>
        <v>-29.130167457413094</v>
      </c>
      <c r="AB523">
        <f t="shared" ref="AB523:AB586" si="50">AB505</f>
        <v>0.42690955700104</v>
      </c>
    </row>
    <row r="524" spans="23:28" x14ac:dyDescent="0.3">
      <c r="W524">
        <f t="shared" si="48"/>
        <v>0</v>
      </c>
      <c r="Z524">
        <f t="shared" si="49"/>
        <v>27</v>
      </c>
      <c r="AA524">
        <f t="shared" si="47"/>
        <v>-29.130167457413098</v>
      </c>
      <c r="AB524">
        <f t="shared" si="50"/>
        <v>0.77145643900915783</v>
      </c>
    </row>
    <row r="525" spans="23:28" x14ac:dyDescent="0.3">
      <c r="W525">
        <f t="shared" si="48"/>
        <v>1.1429999999999998</v>
      </c>
      <c r="Z525">
        <f t="shared" si="49"/>
        <v>27</v>
      </c>
      <c r="AA525">
        <f t="shared" si="47"/>
        <v>-30.273167457413098</v>
      </c>
      <c r="AB525">
        <f t="shared" si="50"/>
        <v>0.77145643900915783</v>
      </c>
    </row>
    <row r="526" spans="23:28" x14ac:dyDescent="0.3">
      <c r="W526">
        <f t="shared" si="48"/>
        <v>1.1429999999999998</v>
      </c>
      <c r="Z526">
        <f t="shared" si="49"/>
        <v>27</v>
      </c>
      <c r="AA526">
        <f t="shared" si="47"/>
        <v>-30.273167457413098</v>
      </c>
      <c r="AB526">
        <f t="shared" si="50"/>
        <v>0.77068498257014872</v>
      </c>
    </row>
    <row r="527" spans="23:28" x14ac:dyDescent="0.3">
      <c r="W527">
        <f t="shared" si="48"/>
        <v>1.1430009999999997</v>
      </c>
      <c r="Z527">
        <f t="shared" si="49"/>
        <v>27</v>
      </c>
      <c r="AA527">
        <f t="shared" si="47"/>
        <v>-30.273168457413096</v>
      </c>
      <c r="AB527">
        <f t="shared" si="50"/>
        <v>0.77067300983892906</v>
      </c>
    </row>
    <row r="528" spans="23:28" x14ac:dyDescent="0.3">
      <c r="W528">
        <f t="shared" si="48"/>
        <v>1.1435498904157428</v>
      </c>
      <c r="Z528">
        <f t="shared" si="49"/>
        <v>27</v>
      </c>
      <c r="AA528">
        <f t="shared" si="47"/>
        <v>-30.273717347828839</v>
      </c>
      <c r="AB528">
        <f t="shared" si="50"/>
        <v>0.76448695437332481</v>
      </c>
    </row>
    <row r="529" spans="23:28" x14ac:dyDescent="0.3">
      <c r="W529">
        <f t="shared" si="48"/>
        <v>1.1455954702393722</v>
      </c>
      <c r="Z529">
        <f t="shared" si="49"/>
        <v>27</v>
      </c>
      <c r="AA529">
        <f t="shared" si="47"/>
        <v>-30.275762927652469</v>
      </c>
      <c r="AB529">
        <f t="shared" si="50"/>
        <v>0.7462179928210797</v>
      </c>
    </row>
    <row r="530" spans="23:28" x14ac:dyDescent="0.3">
      <c r="W530">
        <f t="shared" si="48"/>
        <v>1.1480120980280246</v>
      </c>
      <c r="Z530">
        <f t="shared" si="49"/>
        <v>27</v>
      </c>
      <c r="AA530">
        <f t="shared" si="47"/>
        <v>-30.278179555441124</v>
      </c>
      <c r="AB530">
        <f t="shared" si="50"/>
        <v>0.73027266839631366</v>
      </c>
    </row>
    <row r="531" spans="23:28" x14ac:dyDescent="0.3">
      <c r="W531">
        <f t="shared" si="48"/>
        <v>1.1521461796584274</v>
      </c>
      <c r="Z531">
        <f t="shared" si="49"/>
        <v>27</v>
      </c>
      <c r="AA531">
        <f t="shared" si="47"/>
        <v>-30.282313637071525</v>
      </c>
      <c r="AB531">
        <f t="shared" si="50"/>
        <v>0.7101552774493437</v>
      </c>
    </row>
    <row r="532" spans="23:28" x14ac:dyDescent="0.3">
      <c r="W532">
        <f t="shared" si="48"/>
        <v>1.157464405515152</v>
      </c>
      <c r="Z532">
        <f t="shared" si="49"/>
        <v>27</v>
      </c>
      <c r="AA532">
        <f t="shared" si="47"/>
        <v>-30.287631862928251</v>
      </c>
      <c r="AB532">
        <f t="shared" si="50"/>
        <v>0.69122254011085482</v>
      </c>
    </row>
    <row r="533" spans="23:28" x14ac:dyDescent="0.3">
      <c r="W533">
        <f t="shared" si="48"/>
        <v>1.167916082410517</v>
      </c>
      <c r="Z533">
        <f t="shared" si="49"/>
        <v>27</v>
      </c>
      <c r="AA533">
        <f t="shared" si="47"/>
        <v>-30.298083539823615</v>
      </c>
      <c r="AB533">
        <f t="shared" si="50"/>
        <v>0.66499411019811316</v>
      </c>
    </row>
    <row r="534" spans="23:28" x14ac:dyDescent="0.3">
      <c r="W534">
        <f t="shared" si="48"/>
        <v>1.183100589395595</v>
      </c>
      <c r="Z534">
        <f t="shared" si="49"/>
        <v>27</v>
      </c>
      <c r="AA534">
        <f t="shared" si="47"/>
        <v>-30.313268046808695</v>
      </c>
      <c r="AB534">
        <f t="shared" si="50"/>
        <v>0.63909697400592513</v>
      </c>
    </row>
    <row r="535" spans="23:28" x14ac:dyDescent="0.3">
      <c r="W535">
        <f t="shared" si="48"/>
        <v>1.2109069376156516</v>
      </c>
      <c r="Z535">
        <f t="shared" si="49"/>
        <v>27</v>
      </c>
      <c r="AA535">
        <f t="shared" si="47"/>
        <v>-30.341074395028748</v>
      </c>
      <c r="AB535">
        <f t="shared" si="50"/>
        <v>0.60781973946339873</v>
      </c>
    </row>
    <row r="536" spans="23:28" x14ac:dyDescent="0.3">
      <c r="W536">
        <f t="shared" si="48"/>
        <v>1.2551481159424072</v>
      </c>
      <c r="Z536">
        <f t="shared" si="49"/>
        <v>27</v>
      </c>
      <c r="AA536">
        <f t="shared" si="47"/>
        <v>-30.385315573355506</v>
      </c>
      <c r="AB536">
        <f t="shared" si="50"/>
        <v>0.57612627611480016</v>
      </c>
    </row>
    <row r="537" spans="23:28" x14ac:dyDescent="0.3">
      <c r="W537">
        <f t="shared" si="48"/>
        <v>1.338434015864528</v>
      </c>
      <c r="Z537">
        <f t="shared" si="49"/>
        <v>27</v>
      </c>
      <c r="AA537">
        <f t="shared" si="47"/>
        <v>-30.468601473277626</v>
      </c>
      <c r="AB537">
        <f t="shared" si="50"/>
        <v>0.53973940308666546</v>
      </c>
    </row>
    <row r="538" spans="23:28" x14ac:dyDescent="0.3">
      <c r="W538">
        <f t="shared" si="48"/>
        <v>1.4752504388228256</v>
      </c>
      <c r="Z538">
        <f t="shared" si="49"/>
        <v>27</v>
      </c>
      <c r="AA538">
        <f t="shared" si="47"/>
        <v>-30.605417896235924</v>
      </c>
      <c r="AB538">
        <f t="shared" si="50"/>
        <v>0.50459598065778399</v>
      </c>
    </row>
    <row r="539" spans="23:28" x14ac:dyDescent="0.3">
      <c r="W539">
        <f t="shared" si="48"/>
        <v>1.7500498409303191</v>
      </c>
      <c r="Z539">
        <f t="shared" si="49"/>
        <v>27</v>
      </c>
      <c r="AA539">
        <f t="shared" si="47"/>
        <v>-30.880217298343418</v>
      </c>
      <c r="AB539">
        <f t="shared" si="50"/>
        <v>0.4654409702187336</v>
      </c>
    </row>
    <row r="540" spans="23:28" x14ac:dyDescent="0.3">
      <c r="W540">
        <f t="shared" si="48"/>
        <v>2.1966564988861639</v>
      </c>
      <c r="Z540">
        <f t="shared" si="49"/>
        <v>27</v>
      </c>
      <c r="AA540">
        <f t="shared" si="47"/>
        <v>-31.326823956299261</v>
      </c>
      <c r="AB540">
        <f t="shared" si="50"/>
        <v>0.43134659976949657</v>
      </c>
    </row>
    <row r="541" spans="23:28" x14ac:dyDescent="0.3">
      <c r="W541">
        <f t="shared" si="48"/>
        <v>2.2783011649994576</v>
      </c>
      <c r="Z541">
        <f t="shared" si="49"/>
        <v>27</v>
      </c>
      <c r="AA541">
        <f t="shared" si="47"/>
        <v>-31.408468622412556</v>
      </c>
      <c r="AB541">
        <f t="shared" si="50"/>
        <v>0.42690955700104</v>
      </c>
    </row>
    <row r="542" spans="23:28" x14ac:dyDescent="0.3">
      <c r="W542">
        <f t="shared" si="48"/>
        <v>0</v>
      </c>
      <c r="Z542">
        <f t="shared" si="49"/>
        <v>28</v>
      </c>
      <c r="AA542">
        <f t="shared" si="47"/>
        <v>-31.408468622412553</v>
      </c>
      <c r="AB542">
        <f t="shared" si="50"/>
        <v>0.77145643900915783</v>
      </c>
    </row>
    <row r="543" spans="23:28" x14ac:dyDescent="0.3">
      <c r="W543">
        <f t="shared" si="48"/>
        <v>1.1429999999999998</v>
      </c>
      <c r="Z543">
        <f t="shared" si="49"/>
        <v>28</v>
      </c>
      <c r="AA543">
        <f t="shared" si="47"/>
        <v>-32.55146862241255</v>
      </c>
      <c r="AB543">
        <f t="shared" si="50"/>
        <v>0.77145643900915783</v>
      </c>
    </row>
    <row r="544" spans="23:28" x14ac:dyDescent="0.3">
      <c r="W544">
        <f t="shared" si="48"/>
        <v>1.1429999999999998</v>
      </c>
      <c r="Z544">
        <f t="shared" si="49"/>
        <v>28</v>
      </c>
      <c r="AA544">
        <f t="shared" si="47"/>
        <v>-32.55146862241255</v>
      </c>
      <c r="AB544">
        <f t="shared" si="50"/>
        <v>0.77068498257014872</v>
      </c>
    </row>
    <row r="545" spans="23:28" x14ac:dyDescent="0.3">
      <c r="W545">
        <f t="shared" si="48"/>
        <v>1.1430009999999997</v>
      </c>
      <c r="Z545">
        <f t="shared" si="49"/>
        <v>28</v>
      </c>
      <c r="AA545">
        <f t="shared" si="47"/>
        <v>-32.551469622412554</v>
      </c>
      <c r="AB545">
        <f t="shared" si="50"/>
        <v>0.77067300983892906</v>
      </c>
    </row>
    <row r="546" spans="23:28" x14ac:dyDescent="0.3">
      <c r="W546">
        <f t="shared" si="48"/>
        <v>1.1435498904157428</v>
      </c>
      <c r="Z546">
        <f t="shared" si="49"/>
        <v>28</v>
      </c>
      <c r="AA546">
        <f t="shared" si="47"/>
        <v>-32.552018512828298</v>
      </c>
      <c r="AB546">
        <f t="shared" si="50"/>
        <v>0.76448695437332481</v>
      </c>
    </row>
    <row r="547" spans="23:28" x14ac:dyDescent="0.3">
      <c r="W547">
        <f t="shared" si="48"/>
        <v>1.1455954702393722</v>
      </c>
      <c r="Z547">
        <f t="shared" si="49"/>
        <v>28</v>
      </c>
      <c r="AA547">
        <f t="shared" si="47"/>
        <v>-32.554064092651927</v>
      </c>
      <c r="AB547">
        <f t="shared" si="50"/>
        <v>0.7462179928210797</v>
      </c>
    </row>
    <row r="548" spans="23:28" x14ac:dyDescent="0.3">
      <c r="W548">
        <f t="shared" si="48"/>
        <v>1.1480120980280246</v>
      </c>
      <c r="Z548">
        <f t="shared" si="49"/>
        <v>28</v>
      </c>
      <c r="AA548">
        <f t="shared" si="47"/>
        <v>-32.556480720440575</v>
      </c>
      <c r="AB548">
        <f t="shared" si="50"/>
        <v>0.73027266839631366</v>
      </c>
    </row>
    <row r="549" spans="23:28" x14ac:dyDescent="0.3">
      <c r="W549">
        <f t="shared" si="48"/>
        <v>1.1521461796584274</v>
      </c>
      <c r="Z549">
        <f t="shared" si="49"/>
        <v>28</v>
      </c>
      <c r="AA549">
        <f t="shared" si="47"/>
        <v>-32.56061480207098</v>
      </c>
      <c r="AB549">
        <f t="shared" si="50"/>
        <v>0.7101552774493437</v>
      </c>
    </row>
    <row r="550" spans="23:28" x14ac:dyDescent="0.3">
      <c r="W550">
        <f t="shared" si="48"/>
        <v>1.157464405515152</v>
      </c>
      <c r="Z550">
        <f t="shared" si="49"/>
        <v>28</v>
      </c>
      <c r="AA550">
        <f t="shared" si="47"/>
        <v>-32.565933027927706</v>
      </c>
      <c r="AB550">
        <f t="shared" si="50"/>
        <v>0.69122254011085482</v>
      </c>
    </row>
    <row r="551" spans="23:28" x14ac:dyDescent="0.3">
      <c r="W551">
        <f t="shared" si="48"/>
        <v>1.167916082410517</v>
      </c>
      <c r="Z551">
        <f t="shared" si="49"/>
        <v>28</v>
      </c>
      <c r="AA551">
        <f t="shared" si="47"/>
        <v>-32.57638470482307</v>
      </c>
      <c r="AB551">
        <f t="shared" si="50"/>
        <v>0.66499411019811316</v>
      </c>
    </row>
    <row r="552" spans="23:28" x14ac:dyDescent="0.3">
      <c r="W552">
        <f t="shared" si="48"/>
        <v>1.183100589395595</v>
      </c>
      <c r="Z552">
        <f t="shared" si="49"/>
        <v>28</v>
      </c>
      <c r="AA552">
        <f t="shared" si="47"/>
        <v>-32.591569211808149</v>
      </c>
      <c r="AB552">
        <f t="shared" si="50"/>
        <v>0.63909697400592513</v>
      </c>
    </row>
    <row r="553" spans="23:28" x14ac:dyDescent="0.3">
      <c r="W553">
        <f t="shared" si="48"/>
        <v>1.2109069376156516</v>
      </c>
      <c r="Z553">
        <f t="shared" si="49"/>
        <v>28</v>
      </c>
      <c r="AA553">
        <f t="shared" si="47"/>
        <v>-32.619375560028203</v>
      </c>
      <c r="AB553">
        <f t="shared" si="50"/>
        <v>0.60781973946339873</v>
      </c>
    </row>
    <row r="554" spans="23:28" x14ac:dyDescent="0.3">
      <c r="W554">
        <f t="shared" si="48"/>
        <v>1.2551481159424072</v>
      </c>
      <c r="Z554">
        <f t="shared" si="49"/>
        <v>28</v>
      </c>
      <c r="AA554">
        <f t="shared" si="47"/>
        <v>-32.66361673835496</v>
      </c>
      <c r="AB554">
        <f t="shared" si="50"/>
        <v>0.57612627611480016</v>
      </c>
    </row>
    <row r="555" spans="23:28" x14ac:dyDescent="0.3">
      <c r="W555">
        <f t="shared" si="48"/>
        <v>1.338434015864528</v>
      </c>
      <c r="Z555">
        <f t="shared" si="49"/>
        <v>28</v>
      </c>
      <c r="AA555">
        <f t="shared" si="47"/>
        <v>-32.746902638277078</v>
      </c>
      <c r="AB555">
        <f t="shared" si="50"/>
        <v>0.53973940308666546</v>
      </c>
    </row>
    <row r="556" spans="23:28" x14ac:dyDescent="0.3">
      <c r="W556">
        <f t="shared" si="48"/>
        <v>1.4752504388228256</v>
      </c>
      <c r="Z556">
        <f t="shared" si="49"/>
        <v>28</v>
      </c>
      <c r="AA556">
        <f t="shared" si="47"/>
        <v>-32.883719061235375</v>
      </c>
      <c r="AB556">
        <f t="shared" si="50"/>
        <v>0.50459598065778399</v>
      </c>
    </row>
    <row r="557" spans="23:28" x14ac:dyDescent="0.3">
      <c r="W557">
        <f t="shared" si="48"/>
        <v>1.7500498409303191</v>
      </c>
      <c r="Z557">
        <f t="shared" si="49"/>
        <v>28</v>
      </c>
      <c r="AA557">
        <f t="shared" si="47"/>
        <v>-33.158518463342872</v>
      </c>
      <c r="AB557">
        <f t="shared" si="50"/>
        <v>0.4654409702187336</v>
      </c>
    </row>
    <row r="558" spans="23:28" x14ac:dyDescent="0.3">
      <c r="W558">
        <f t="shared" si="48"/>
        <v>2.1966564988861639</v>
      </c>
      <c r="Z558">
        <f t="shared" si="49"/>
        <v>28</v>
      </c>
      <c r="AA558">
        <f t="shared" si="47"/>
        <v>-33.60512512129872</v>
      </c>
      <c r="AB558">
        <f t="shared" si="50"/>
        <v>0.43134659976949657</v>
      </c>
    </row>
    <row r="559" spans="23:28" x14ac:dyDescent="0.3">
      <c r="W559">
        <f t="shared" si="48"/>
        <v>2.2783011649994576</v>
      </c>
      <c r="Z559">
        <f t="shared" si="49"/>
        <v>28</v>
      </c>
      <c r="AA559">
        <f t="shared" si="47"/>
        <v>-33.686769787412011</v>
      </c>
      <c r="AB559">
        <f t="shared" si="50"/>
        <v>0.42690955700104</v>
      </c>
    </row>
    <row r="560" spans="23:28" x14ac:dyDescent="0.3">
      <c r="W560">
        <f t="shared" si="48"/>
        <v>0</v>
      </c>
      <c r="Z560">
        <f t="shared" si="49"/>
        <v>29</v>
      </c>
      <c r="AA560">
        <f t="shared" si="47"/>
        <v>-33.686769787412004</v>
      </c>
      <c r="AB560">
        <f t="shared" si="50"/>
        <v>0.77145643900915783</v>
      </c>
    </row>
    <row r="561" spans="23:28" x14ac:dyDescent="0.3">
      <c r="W561">
        <f t="shared" si="48"/>
        <v>1.1429999999999998</v>
      </c>
      <c r="Z561">
        <f t="shared" si="49"/>
        <v>29</v>
      </c>
      <c r="AA561">
        <f t="shared" si="47"/>
        <v>-34.829769787412005</v>
      </c>
      <c r="AB561">
        <f t="shared" si="50"/>
        <v>0.77145643900915783</v>
      </c>
    </row>
    <row r="562" spans="23:28" x14ac:dyDescent="0.3">
      <c r="W562">
        <f t="shared" si="48"/>
        <v>1.1429999999999998</v>
      </c>
      <c r="Z562">
        <f t="shared" si="49"/>
        <v>29</v>
      </c>
      <c r="AA562">
        <f t="shared" si="47"/>
        <v>-34.829769787412005</v>
      </c>
      <c r="AB562">
        <f t="shared" si="50"/>
        <v>0.77068498257014872</v>
      </c>
    </row>
    <row r="563" spans="23:28" x14ac:dyDescent="0.3">
      <c r="W563">
        <f t="shared" si="48"/>
        <v>1.1430009999999997</v>
      </c>
      <c r="Z563">
        <f t="shared" si="49"/>
        <v>29</v>
      </c>
      <c r="AA563">
        <f t="shared" si="47"/>
        <v>-34.829770787412002</v>
      </c>
      <c r="AB563">
        <f t="shared" si="50"/>
        <v>0.77067300983892906</v>
      </c>
    </row>
    <row r="564" spans="23:28" x14ac:dyDescent="0.3">
      <c r="W564">
        <f t="shared" si="48"/>
        <v>1.1435498904157428</v>
      </c>
      <c r="Z564">
        <f t="shared" si="49"/>
        <v>29</v>
      </c>
      <c r="AA564">
        <f t="shared" si="47"/>
        <v>-34.830319677827745</v>
      </c>
      <c r="AB564">
        <f t="shared" si="50"/>
        <v>0.76448695437332481</v>
      </c>
    </row>
    <row r="565" spans="23:28" x14ac:dyDescent="0.3">
      <c r="W565">
        <f t="shared" si="48"/>
        <v>1.1455954702393722</v>
      </c>
      <c r="Z565">
        <f t="shared" si="49"/>
        <v>29</v>
      </c>
      <c r="AA565">
        <f t="shared" si="47"/>
        <v>-34.832365257651375</v>
      </c>
      <c r="AB565">
        <f t="shared" si="50"/>
        <v>0.7462179928210797</v>
      </c>
    </row>
    <row r="566" spans="23:28" x14ac:dyDescent="0.3">
      <c r="W566">
        <f t="shared" si="48"/>
        <v>1.1480120980280246</v>
      </c>
      <c r="Z566">
        <f t="shared" si="49"/>
        <v>29</v>
      </c>
      <c r="AA566">
        <f t="shared" si="47"/>
        <v>-34.83478188544003</v>
      </c>
      <c r="AB566">
        <f t="shared" si="50"/>
        <v>0.73027266839631366</v>
      </c>
    </row>
    <row r="567" spans="23:28" x14ac:dyDescent="0.3">
      <c r="W567">
        <f t="shared" si="48"/>
        <v>1.1521461796584274</v>
      </c>
      <c r="Z567">
        <f t="shared" si="49"/>
        <v>29</v>
      </c>
      <c r="AA567">
        <f t="shared" si="47"/>
        <v>-34.838915967070434</v>
      </c>
      <c r="AB567">
        <f t="shared" si="50"/>
        <v>0.7101552774493437</v>
      </c>
    </row>
    <row r="568" spans="23:28" x14ac:dyDescent="0.3">
      <c r="W568">
        <f t="shared" si="48"/>
        <v>1.157464405515152</v>
      </c>
      <c r="Z568">
        <f t="shared" si="49"/>
        <v>29</v>
      </c>
      <c r="AA568">
        <f t="shared" si="47"/>
        <v>-34.844234192927154</v>
      </c>
      <c r="AB568">
        <f t="shared" si="50"/>
        <v>0.69122254011085482</v>
      </c>
    </row>
    <row r="569" spans="23:28" x14ac:dyDescent="0.3">
      <c r="W569">
        <f t="shared" si="48"/>
        <v>1.167916082410517</v>
      </c>
      <c r="Z569">
        <f t="shared" si="49"/>
        <v>29</v>
      </c>
      <c r="AA569">
        <f t="shared" ref="AA569:AA632" si="51">$AA$55-(Z569-1)*$X$51-W569</f>
        <v>-34.854685869822518</v>
      </c>
      <c r="AB569">
        <f t="shared" si="50"/>
        <v>0.66499411019811316</v>
      </c>
    </row>
    <row r="570" spans="23:28" x14ac:dyDescent="0.3">
      <c r="W570">
        <f t="shared" si="48"/>
        <v>1.183100589395595</v>
      </c>
      <c r="Z570">
        <f t="shared" si="49"/>
        <v>29</v>
      </c>
      <c r="AA570">
        <f t="shared" si="51"/>
        <v>-34.869870376807597</v>
      </c>
      <c r="AB570">
        <f t="shared" si="50"/>
        <v>0.63909697400592513</v>
      </c>
    </row>
    <row r="571" spans="23:28" x14ac:dyDescent="0.3">
      <c r="W571">
        <f t="shared" si="48"/>
        <v>1.2109069376156516</v>
      </c>
      <c r="Z571">
        <f t="shared" si="49"/>
        <v>29</v>
      </c>
      <c r="AA571">
        <f t="shared" si="51"/>
        <v>-34.897676725027658</v>
      </c>
      <c r="AB571">
        <f t="shared" si="50"/>
        <v>0.60781973946339873</v>
      </c>
    </row>
    <row r="572" spans="23:28" x14ac:dyDescent="0.3">
      <c r="W572">
        <f t="shared" si="48"/>
        <v>1.2551481159424072</v>
      </c>
      <c r="Z572">
        <f t="shared" si="49"/>
        <v>29</v>
      </c>
      <c r="AA572">
        <f t="shared" si="51"/>
        <v>-34.941917903354408</v>
      </c>
      <c r="AB572">
        <f t="shared" si="50"/>
        <v>0.57612627611480016</v>
      </c>
    </row>
    <row r="573" spans="23:28" x14ac:dyDescent="0.3">
      <c r="W573">
        <f t="shared" si="48"/>
        <v>1.338434015864528</v>
      </c>
      <c r="Z573">
        <f t="shared" si="49"/>
        <v>29</v>
      </c>
      <c r="AA573">
        <f t="shared" si="51"/>
        <v>-35.025203803276533</v>
      </c>
      <c r="AB573">
        <f t="shared" si="50"/>
        <v>0.53973940308666546</v>
      </c>
    </row>
    <row r="574" spans="23:28" x14ac:dyDescent="0.3">
      <c r="W574">
        <f t="shared" si="48"/>
        <v>1.4752504388228256</v>
      </c>
      <c r="Z574">
        <f t="shared" si="49"/>
        <v>29</v>
      </c>
      <c r="AA574">
        <f t="shared" si="51"/>
        <v>-35.16202022623483</v>
      </c>
      <c r="AB574">
        <f t="shared" si="50"/>
        <v>0.50459598065778399</v>
      </c>
    </row>
    <row r="575" spans="23:28" x14ac:dyDescent="0.3">
      <c r="W575">
        <f t="shared" si="48"/>
        <v>1.7500498409303191</v>
      </c>
      <c r="Z575">
        <f t="shared" si="49"/>
        <v>29</v>
      </c>
      <c r="AA575">
        <f t="shared" si="51"/>
        <v>-35.43681962834232</v>
      </c>
      <c r="AB575">
        <f t="shared" si="50"/>
        <v>0.4654409702187336</v>
      </c>
    </row>
    <row r="576" spans="23:28" x14ac:dyDescent="0.3">
      <c r="W576">
        <f t="shared" si="48"/>
        <v>2.1966564988861639</v>
      </c>
      <c r="Z576">
        <f t="shared" si="49"/>
        <v>29</v>
      </c>
      <c r="AA576">
        <f t="shared" si="51"/>
        <v>-35.883426286298167</v>
      </c>
      <c r="AB576">
        <f t="shared" si="50"/>
        <v>0.43134659976949657</v>
      </c>
    </row>
    <row r="577" spans="23:28" x14ac:dyDescent="0.3">
      <c r="W577">
        <f t="shared" si="48"/>
        <v>2.2783011649994576</v>
      </c>
      <c r="Z577">
        <f t="shared" si="49"/>
        <v>29</v>
      </c>
      <c r="AA577">
        <f t="shared" si="51"/>
        <v>-35.965070952411459</v>
      </c>
      <c r="AB577">
        <f t="shared" si="50"/>
        <v>0.42690955700104</v>
      </c>
    </row>
    <row r="578" spans="23:28" x14ac:dyDescent="0.3">
      <c r="W578">
        <f t="shared" si="48"/>
        <v>0</v>
      </c>
      <c r="Z578">
        <f t="shared" si="49"/>
        <v>30</v>
      </c>
      <c r="AA578">
        <f t="shared" si="51"/>
        <v>-35.965070952411466</v>
      </c>
      <c r="AB578">
        <f t="shared" si="50"/>
        <v>0.77145643900915783</v>
      </c>
    </row>
    <row r="579" spans="23:28" x14ac:dyDescent="0.3">
      <c r="W579">
        <f t="shared" si="48"/>
        <v>1.1429999999999998</v>
      </c>
      <c r="Z579">
        <f t="shared" si="49"/>
        <v>30</v>
      </c>
      <c r="AA579">
        <f t="shared" si="51"/>
        <v>-37.108070952411467</v>
      </c>
      <c r="AB579">
        <f t="shared" si="50"/>
        <v>0.77145643900915783</v>
      </c>
    </row>
    <row r="580" spans="23:28" x14ac:dyDescent="0.3">
      <c r="W580">
        <f t="shared" si="48"/>
        <v>1.1429999999999998</v>
      </c>
      <c r="Z580">
        <f t="shared" si="49"/>
        <v>30</v>
      </c>
      <c r="AA580">
        <f t="shared" si="51"/>
        <v>-37.108070952411467</v>
      </c>
      <c r="AB580">
        <f t="shared" si="50"/>
        <v>0.77068498257014872</v>
      </c>
    </row>
    <row r="581" spans="23:28" x14ac:dyDescent="0.3">
      <c r="W581">
        <f t="shared" si="48"/>
        <v>1.1430009999999997</v>
      </c>
      <c r="Z581">
        <f t="shared" si="49"/>
        <v>30</v>
      </c>
      <c r="AA581">
        <f t="shared" si="51"/>
        <v>-37.108071952411464</v>
      </c>
      <c r="AB581">
        <f t="shared" si="50"/>
        <v>0.77067300983892906</v>
      </c>
    </row>
    <row r="582" spans="23:28" x14ac:dyDescent="0.3">
      <c r="W582">
        <f t="shared" si="48"/>
        <v>1.1435498904157428</v>
      </c>
      <c r="Z582">
        <f t="shared" si="49"/>
        <v>30</v>
      </c>
      <c r="AA582">
        <f t="shared" si="51"/>
        <v>-37.108620842827207</v>
      </c>
      <c r="AB582">
        <f t="shared" si="50"/>
        <v>0.76448695437332481</v>
      </c>
    </row>
    <row r="583" spans="23:28" x14ac:dyDescent="0.3">
      <c r="W583">
        <f t="shared" si="48"/>
        <v>1.1455954702393722</v>
      </c>
      <c r="Z583">
        <f t="shared" si="49"/>
        <v>30</v>
      </c>
      <c r="AA583">
        <f t="shared" si="51"/>
        <v>-37.110666422650837</v>
      </c>
      <c r="AB583">
        <f t="shared" si="50"/>
        <v>0.7462179928210797</v>
      </c>
    </row>
    <row r="584" spans="23:28" x14ac:dyDescent="0.3">
      <c r="W584">
        <f t="shared" si="48"/>
        <v>1.1480120980280246</v>
      </c>
      <c r="Z584">
        <f t="shared" si="49"/>
        <v>30</v>
      </c>
      <c r="AA584">
        <f t="shared" si="51"/>
        <v>-37.113083050439492</v>
      </c>
      <c r="AB584">
        <f t="shared" si="50"/>
        <v>0.73027266839631366</v>
      </c>
    </row>
    <row r="585" spans="23:28" x14ac:dyDescent="0.3">
      <c r="W585">
        <f t="shared" si="48"/>
        <v>1.1521461796584274</v>
      </c>
      <c r="Z585">
        <f t="shared" si="49"/>
        <v>30</v>
      </c>
      <c r="AA585">
        <f t="shared" si="51"/>
        <v>-37.117217132069896</v>
      </c>
      <c r="AB585">
        <f t="shared" si="50"/>
        <v>0.7101552774493437</v>
      </c>
    </row>
    <row r="586" spans="23:28" x14ac:dyDescent="0.3">
      <c r="W586">
        <f t="shared" si="48"/>
        <v>1.157464405515152</v>
      </c>
      <c r="Z586">
        <f t="shared" si="49"/>
        <v>30</v>
      </c>
      <c r="AA586">
        <f t="shared" si="51"/>
        <v>-37.122535357926616</v>
      </c>
      <c r="AB586">
        <f t="shared" si="50"/>
        <v>0.69122254011085482</v>
      </c>
    </row>
    <row r="587" spans="23:28" x14ac:dyDescent="0.3">
      <c r="W587">
        <f t="shared" ref="W587:W650" si="52">W569</f>
        <v>1.167916082410517</v>
      </c>
      <c r="Z587">
        <f t="shared" ref="Z587:Z650" si="53">Z569+1</f>
        <v>30</v>
      </c>
      <c r="AA587">
        <f t="shared" si="51"/>
        <v>-37.13298703482198</v>
      </c>
      <c r="AB587">
        <f t="shared" ref="AB587:AB650" si="54">AB569</f>
        <v>0.66499411019811316</v>
      </c>
    </row>
    <row r="588" spans="23:28" x14ac:dyDescent="0.3">
      <c r="W588">
        <f t="shared" si="52"/>
        <v>1.183100589395595</v>
      </c>
      <c r="Z588">
        <f t="shared" si="53"/>
        <v>30</v>
      </c>
      <c r="AA588">
        <f t="shared" si="51"/>
        <v>-37.148171541807059</v>
      </c>
      <c r="AB588">
        <f t="shared" si="54"/>
        <v>0.63909697400592513</v>
      </c>
    </row>
    <row r="589" spans="23:28" x14ac:dyDescent="0.3">
      <c r="W589">
        <f t="shared" si="52"/>
        <v>1.2109069376156516</v>
      </c>
      <c r="Z589">
        <f t="shared" si="53"/>
        <v>30</v>
      </c>
      <c r="AA589">
        <f t="shared" si="51"/>
        <v>-37.17597789002712</v>
      </c>
      <c r="AB589">
        <f t="shared" si="54"/>
        <v>0.60781973946339873</v>
      </c>
    </row>
    <row r="590" spans="23:28" x14ac:dyDescent="0.3">
      <c r="W590">
        <f t="shared" si="52"/>
        <v>1.2551481159424072</v>
      </c>
      <c r="Z590">
        <f t="shared" si="53"/>
        <v>30</v>
      </c>
      <c r="AA590">
        <f t="shared" si="51"/>
        <v>-37.22021906835387</v>
      </c>
      <c r="AB590">
        <f t="shared" si="54"/>
        <v>0.57612627611480016</v>
      </c>
    </row>
    <row r="591" spans="23:28" x14ac:dyDescent="0.3">
      <c r="W591">
        <f t="shared" si="52"/>
        <v>1.338434015864528</v>
      </c>
      <c r="Z591">
        <f t="shared" si="53"/>
        <v>30</v>
      </c>
      <c r="AA591">
        <f t="shared" si="51"/>
        <v>-37.303504968275995</v>
      </c>
      <c r="AB591">
        <f t="shared" si="54"/>
        <v>0.53973940308666546</v>
      </c>
    </row>
    <row r="592" spans="23:28" x14ac:dyDescent="0.3">
      <c r="W592">
        <f t="shared" si="52"/>
        <v>1.4752504388228256</v>
      </c>
      <c r="Z592">
        <f t="shared" si="53"/>
        <v>30</v>
      </c>
      <c r="AA592">
        <f t="shared" si="51"/>
        <v>-37.440321391234292</v>
      </c>
      <c r="AB592">
        <f t="shared" si="54"/>
        <v>0.50459598065778399</v>
      </c>
    </row>
    <row r="593" spans="23:28" x14ac:dyDescent="0.3">
      <c r="W593">
        <f t="shared" si="52"/>
        <v>1.7500498409303191</v>
      </c>
      <c r="Z593">
        <f t="shared" si="53"/>
        <v>30</v>
      </c>
      <c r="AA593">
        <f t="shared" si="51"/>
        <v>-37.715120793341782</v>
      </c>
      <c r="AB593">
        <f t="shared" si="54"/>
        <v>0.4654409702187336</v>
      </c>
    </row>
    <row r="594" spans="23:28" x14ac:dyDescent="0.3">
      <c r="W594">
        <f t="shared" si="52"/>
        <v>2.1966564988861639</v>
      </c>
      <c r="Z594">
        <f t="shared" si="53"/>
        <v>30</v>
      </c>
      <c r="AA594">
        <f t="shared" si="51"/>
        <v>-38.161727451297629</v>
      </c>
      <c r="AB594">
        <f t="shared" si="54"/>
        <v>0.43134659976949657</v>
      </c>
    </row>
    <row r="595" spans="23:28" x14ac:dyDescent="0.3">
      <c r="W595">
        <f t="shared" si="52"/>
        <v>2.2783011649994576</v>
      </c>
      <c r="Z595">
        <f t="shared" si="53"/>
        <v>30</v>
      </c>
      <c r="AA595">
        <f t="shared" si="51"/>
        <v>-38.243372117410921</v>
      </c>
      <c r="AB595">
        <f t="shared" si="54"/>
        <v>0.42690955700104</v>
      </c>
    </row>
    <row r="596" spans="23:28" x14ac:dyDescent="0.3">
      <c r="W596">
        <f t="shared" si="52"/>
        <v>0</v>
      </c>
      <c r="Z596">
        <f t="shared" si="53"/>
        <v>31</v>
      </c>
      <c r="AA596">
        <f t="shared" si="51"/>
        <v>-38.243372117410928</v>
      </c>
      <c r="AB596">
        <f t="shared" si="54"/>
        <v>0.77145643900915783</v>
      </c>
    </row>
    <row r="597" spans="23:28" x14ac:dyDescent="0.3">
      <c r="W597">
        <f t="shared" si="52"/>
        <v>1.1429999999999998</v>
      </c>
      <c r="Z597">
        <f t="shared" si="53"/>
        <v>31</v>
      </c>
      <c r="AA597">
        <f t="shared" si="51"/>
        <v>-39.386372117410929</v>
      </c>
      <c r="AB597">
        <f t="shared" si="54"/>
        <v>0.77145643900915783</v>
      </c>
    </row>
    <row r="598" spans="23:28" x14ac:dyDescent="0.3">
      <c r="W598">
        <f t="shared" si="52"/>
        <v>1.1429999999999998</v>
      </c>
      <c r="Z598">
        <f t="shared" si="53"/>
        <v>31</v>
      </c>
      <c r="AA598">
        <f t="shared" si="51"/>
        <v>-39.386372117410929</v>
      </c>
      <c r="AB598">
        <f t="shared" si="54"/>
        <v>0.77068498257014872</v>
      </c>
    </row>
    <row r="599" spans="23:28" x14ac:dyDescent="0.3">
      <c r="W599">
        <f t="shared" si="52"/>
        <v>1.1430009999999997</v>
      </c>
      <c r="Z599">
        <f t="shared" si="53"/>
        <v>31</v>
      </c>
      <c r="AA599">
        <f t="shared" si="51"/>
        <v>-39.386373117410926</v>
      </c>
      <c r="AB599">
        <f t="shared" si="54"/>
        <v>0.77067300983892906</v>
      </c>
    </row>
    <row r="600" spans="23:28" x14ac:dyDescent="0.3">
      <c r="W600">
        <f t="shared" si="52"/>
        <v>1.1435498904157428</v>
      </c>
      <c r="Z600">
        <f t="shared" si="53"/>
        <v>31</v>
      </c>
      <c r="AA600">
        <f t="shared" si="51"/>
        <v>-39.386922007826669</v>
      </c>
      <c r="AB600">
        <f t="shared" si="54"/>
        <v>0.76448695437332481</v>
      </c>
    </row>
    <row r="601" spans="23:28" x14ac:dyDescent="0.3">
      <c r="W601">
        <f t="shared" si="52"/>
        <v>1.1455954702393722</v>
      </c>
      <c r="Z601">
        <f t="shared" si="53"/>
        <v>31</v>
      </c>
      <c r="AA601">
        <f t="shared" si="51"/>
        <v>-39.388967587650299</v>
      </c>
      <c r="AB601">
        <f t="shared" si="54"/>
        <v>0.7462179928210797</v>
      </c>
    </row>
    <row r="602" spans="23:28" x14ac:dyDescent="0.3">
      <c r="W602">
        <f t="shared" si="52"/>
        <v>1.1480120980280246</v>
      </c>
      <c r="Z602">
        <f t="shared" si="53"/>
        <v>31</v>
      </c>
      <c r="AA602">
        <f t="shared" si="51"/>
        <v>-39.391384215438954</v>
      </c>
      <c r="AB602">
        <f t="shared" si="54"/>
        <v>0.73027266839631366</v>
      </c>
    </row>
    <row r="603" spans="23:28" x14ac:dyDescent="0.3">
      <c r="W603">
        <f t="shared" si="52"/>
        <v>1.1521461796584274</v>
      </c>
      <c r="Z603">
        <f t="shared" si="53"/>
        <v>31</v>
      </c>
      <c r="AA603">
        <f t="shared" si="51"/>
        <v>-39.395518297069358</v>
      </c>
      <c r="AB603">
        <f t="shared" si="54"/>
        <v>0.7101552774493437</v>
      </c>
    </row>
    <row r="604" spans="23:28" x14ac:dyDescent="0.3">
      <c r="W604">
        <f t="shared" si="52"/>
        <v>1.157464405515152</v>
      </c>
      <c r="Z604">
        <f t="shared" si="53"/>
        <v>31</v>
      </c>
      <c r="AA604">
        <f t="shared" si="51"/>
        <v>-39.400836522926078</v>
      </c>
      <c r="AB604">
        <f t="shared" si="54"/>
        <v>0.69122254011085482</v>
      </c>
    </row>
    <row r="605" spans="23:28" x14ac:dyDescent="0.3">
      <c r="W605">
        <f t="shared" si="52"/>
        <v>1.167916082410517</v>
      </c>
      <c r="Z605">
        <f t="shared" si="53"/>
        <v>31</v>
      </c>
      <c r="AA605">
        <f t="shared" si="51"/>
        <v>-39.411288199821442</v>
      </c>
      <c r="AB605">
        <f t="shared" si="54"/>
        <v>0.66499411019811316</v>
      </c>
    </row>
    <row r="606" spans="23:28" x14ac:dyDescent="0.3">
      <c r="W606">
        <f t="shared" si="52"/>
        <v>1.183100589395595</v>
      </c>
      <c r="Z606">
        <f t="shared" si="53"/>
        <v>31</v>
      </c>
      <c r="AA606">
        <f t="shared" si="51"/>
        <v>-39.426472706806521</v>
      </c>
      <c r="AB606">
        <f t="shared" si="54"/>
        <v>0.63909697400592513</v>
      </c>
    </row>
    <row r="607" spans="23:28" x14ac:dyDescent="0.3">
      <c r="W607">
        <f t="shared" si="52"/>
        <v>1.2109069376156516</v>
      </c>
      <c r="Z607">
        <f t="shared" si="53"/>
        <v>31</v>
      </c>
      <c r="AA607">
        <f t="shared" si="51"/>
        <v>-39.454279055026582</v>
      </c>
      <c r="AB607">
        <f t="shared" si="54"/>
        <v>0.60781973946339873</v>
      </c>
    </row>
    <row r="608" spans="23:28" x14ac:dyDescent="0.3">
      <c r="W608">
        <f t="shared" si="52"/>
        <v>1.2551481159424072</v>
      </c>
      <c r="Z608">
        <f t="shared" si="53"/>
        <v>31</v>
      </c>
      <c r="AA608">
        <f t="shared" si="51"/>
        <v>-39.498520233353332</v>
      </c>
      <c r="AB608">
        <f t="shared" si="54"/>
        <v>0.57612627611480016</v>
      </c>
    </row>
    <row r="609" spans="23:28" x14ac:dyDescent="0.3">
      <c r="W609">
        <f t="shared" si="52"/>
        <v>1.338434015864528</v>
      </c>
      <c r="Z609">
        <f t="shared" si="53"/>
        <v>31</v>
      </c>
      <c r="AA609">
        <f t="shared" si="51"/>
        <v>-39.581806133275457</v>
      </c>
      <c r="AB609">
        <f t="shared" si="54"/>
        <v>0.53973940308666546</v>
      </c>
    </row>
    <row r="610" spans="23:28" x14ac:dyDescent="0.3">
      <c r="W610">
        <f t="shared" si="52"/>
        <v>1.4752504388228256</v>
      </c>
      <c r="Z610">
        <f t="shared" si="53"/>
        <v>31</v>
      </c>
      <c r="AA610">
        <f t="shared" si="51"/>
        <v>-39.718622556233754</v>
      </c>
      <c r="AB610">
        <f t="shared" si="54"/>
        <v>0.50459598065778399</v>
      </c>
    </row>
    <row r="611" spans="23:28" x14ac:dyDescent="0.3">
      <c r="W611">
        <f t="shared" si="52"/>
        <v>1.7500498409303191</v>
      </c>
      <c r="Z611">
        <f t="shared" si="53"/>
        <v>31</v>
      </c>
      <c r="AA611">
        <f t="shared" si="51"/>
        <v>-39.993421958341244</v>
      </c>
      <c r="AB611">
        <f t="shared" si="54"/>
        <v>0.4654409702187336</v>
      </c>
    </row>
    <row r="612" spans="23:28" x14ac:dyDescent="0.3">
      <c r="W612">
        <f t="shared" si="52"/>
        <v>2.1966564988861639</v>
      </c>
      <c r="Z612">
        <f t="shared" si="53"/>
        <v>31</v>
      </c>
      <c r="AA612">
        <f t="shared" si="51"/>
        <v>-40.440028616297091</v>
      </c>
      <c r="AB612">
        <f t="shared" si="54"/>
        <v>0.43134659976949657</v>
      </c>
    </row>
    <row r="613" spans="23:28" x14ac:dyDescent="0.3">
      <c r="W613">
        <f t="shared" si="52"/>
        <v>2.2783011649994576</v>
      </c>
      <c r="Z613">
        <f t="shared" si="53"/>
        <v>31</v>
      </c>
      <c r="AA613">
        <f t="shared" si="51"/>
        <v>-40.521673282410383</v>
      </c>
      <c r="AB613">
        <f t="shared" si="54"/>
        <v>0.42690955700104</v>
      </c>
    </row>
    <row r="614" spans="23:28" x14ac:dyDescent="0.3">
      <c r="W614">
        <f t="shared" si="52"/>
        <v>0</v>
      </c>
      <c r="Z614">
        <f t="shared" si="53"/>
        <v>32</v>
      </c>
      <c r="AA614">
        <f t="shared" si="51"/>
        <v>-40.521673282410376</v>
      </c>
      <c r="AB614">
        <f t="shared" si="54"/>
        <v>0.77145643900915783</v>
      </c>
    </row>
    <row r="615" spans="23:28" x14ac:dyDescent="0.3">
      <c r="W615">
        <f t="shared" si="52"/>
        <v>1.1429999999999998</v>
      </c>
      <c r="Z615">
        <f t="shared" si="53"/>
        <v>32</v>
      </c>
      <c r="AA615">
        <f t="shared" si="51"/>
        <v>-41.664673282410376</v>
      </c>
      <c r="AB615">
        <f t="shared" si="54"/>
        <v>0.77145643900915783</v>
      </c>
    </row>
    <row r="616" spans="23:28" x14ac:dyDescent="0.3">
      <c r="W616">
        <f t="shared" si="52"/>
        <v>1.1429999999999998</v>
      </c>
      <c r="Z616">
        <f t="shared" si="53"/>
        <v>32</v>
      </c>
      <c r="AA616">
        <f t="shared" si="51"/>
        <v>-41.664673282410376</v>
      </c>
      <c r="AB616">
        <f t="shared" si="54"/>
        <v>0.77068498257014872</v>
      </c>
    </row>
    <row r="617" spans="23:28" x14ac:dyDescent="0.3">
      <c r="W617">
        <f t="shared" si="52"/>
        <v>1.1430009999999997</v>
      </c>
      <c r="Z617">
        <f t="shared" si="53"/>
        <v>32</v>
      </c>
      <c r="AA617">
        <f t="shared" si="51"/>
        <v>-41.664674282410374</v>
      </c>
      <c r="AB617">
        <f t="shared" si="54"/>
        <v>0.77067300983892906</v>
      </c>
    </row>
    <row r="618" spans="23:28" x14ac:dyDescent="0.3">
      <c r="W618">
        <f t="shared" si="52"/>
        <v>1.1435498904157428</v>
      </c>
      <c r="Z618">
        <f t="shared" si="53"/>
        <v>32</v>
      </c>
      <c r="AA618">
        <f t="shared" si="51"/>
        <v>-41.665223172826117</v>
      </c>
      <c r="AB618">
        <f t="shared" si="54"/>
        <v>0.76448695437332481</v>
      </c>
    </row>
    <row r="619" spans="23:28" x14ac:dyDescent="0.3">
      <c r="W619">
        <f t="shared" si="52"/>
        <v>1.1455954702393722</v>
      </c>
      <c r="Z619">
        <f t="shared" si="53"/>
        <v>32</v>
      </c>
      <c r="AA619">
        <f t="shared" si="51"/>
        <v>-41.667268752649747</v>
      </c>
      <c r="AB619">
        <f t="shared" si="54"/>
        <v>0.7462179928210797</v>
      </c>
    </row>
    <row r="620" spans="23:28" x14ac:dyDescent="0.3">
      <c r="W620">
        <f t="shared" si="52"/>
        <v>1.1480120980280246</v>
      </c>
      <c r="Z620">
        <f t="shared" si="53"/>
        <v>32</v>
      </c>
      <c r="AA620">
        <f t="shared" si="51"/>
        <v>-41.669685380438402</v>
      </c>
      <c r="AB620">
        <f t="shared" si="54"/>
        <v>0.73027266839631366</v>
      </c>
    </row>
    <row r="621" spans="23:28" x14ac:dyDescent="0.3">
      <c r="W621">
        <f t="shared" si="52"/>
        <v>1.1521461796584274</v>
      </c>
      <c r="Z621">
        <f t="shared" si="53"/>
        <v>32</v>
      </c>
      <c r="AA621">
        <f t="shared" si="51"/>
        <v>-41.673819462068806</v>
      </c>
      <c r="AB621">
        <f t="shared" si="54"/>
        <v>0.7101552774493437</v>
      </c>
    </row>
    <row r="622" spans="23:28" x14ac:dyDescent="0.3">
      <c r="W622">
        <f t="shared" si="52"/>
        <v>1.157464405515152</v>
      </c>
      <c r="Z622">
        <f t="shared" si="53"/>
        <v>32</v>
      </c>
      <c r="AA622">
        <f t="shared" si="51"/>
        <v>-41.679137687925525</v>
      </c>
      <c r="AB622">
        <f t="shared" si="54"/>
        <v>0.69122254011085482</v>
      </c>
    </row>
    <row r="623" spans="23:28" x14ac:dyDescent="0.3">
      <c r="W623">
        <f t="shared" si="52"/>
        <v>1.167916082410517</v>
      </c>
      <c r="Z623">
        <f t="shared" si="53"/>
        <v>32</v>
      </c>
      <c r="AA623">
        <f t="shared" si="51"/>
        <v>-41.68958936482089</v>
      </c>
      <c r="AB623">
        <f t="shared" si="54"/>
        <v>0.66499411019811316</v>
      </c>
    </row>
    <row r="624" spans="23:28" x14ac:dyDescent="0.3">
      <c r="W624">
        <f t="shared" si="52"/>
        <v>1.183100589395595</v>
      </c>
      <c r="Z624">
        <f t="shared" si="53"/>
        <v>32</v>
      </c>
      <c r="AA624">
        <f t="shared" si="51"/>
        <v>-41.704773871805969</v>
      </c>
      <c r="AB624">
        <f t="shared" si="54"/>
        <v>0.63909697400592513</v>
      </c>
    </row>
    <row r="625" spans="23:28" x14ac:dyDescent="0.3">
      <c r="W625">
        <f t="shared" si="52"/>
        <v>1.2109069376156516</v>
      </c>
      <c r="Z625">
        <f t="shared" si="53"/>
        <v>32</v>
      </c>
      <c r="AA625">
        <f t="shared" si="51"/>
        <v>-41.73258022002603</v>
      </c>
      <c r="AB625">
        <f t="shared" si="54"/>
        <v>0.60781973946339873</v>
      </c>
    </row>
    <row r="626" spans="23:28" x14ac:dyDescent="0.3">
      <c r="W626">
        <f t="shared" si="52"/>
        <v>1.2551481159424072</v>
      </c>
      <c r="Z626">
        <f t="shared" si="53"/>
        <v>32</v>
      </c>
      <c r="AA626">
        <f t="shared" si="51"/>
        <v>-41.77682139835278</v>
      </c>
      <c r="AB626">
        <f t="shared" si="54"/>
        <v>0.57612627611480016</v>
      </c>
    </row>
    <row r="627" spans="23:28" x14ac:dyDescent="0.3">
      <c r="W627">
        <f t="shared" si="52"/>
        <v>1.338434015864528</v>
      </c>
      <c r="Z627">
        <f t="shared" si="53"/>
        <v>32</v>
      </c>
      <c r="AA627">
        <f t="shared" si="51"/>
        <v>-41.860107298274905</v>
      </c>
      <c r="AB627">
        <f t="shared" si="54"/>
        <v>0.53973940308666546</v>
      </c>
    </row>
    <row r="628" spans="23:28" x14ac:dyDescent="0.3">
      <c r="W628">
        <f t="shared" si="52"/>
        <v>1.4752504388228256</v>
      </c>
      <c r="Z628">
        <f t="shared" si="53"/>
        <v>32</v>
      </c>
      <c r="AA628">
        <f t="shared" si="51"/>
        <v>-41.996923721233202</v>
      </c>
      <c r="AB628">
        <f t="shared" si="54"/>
        <v>0.50459598065778399</v>
      </c>
    </row>
    <row r="629" spans="23:28" x14ac:dyDescent="0.3">
      <c r="W629">
        <f t="shared" si="52"/>
        <v>1.7500498409303191</v>
      </c>
      <c r="Z629">
        <f t="shared" si="53"/>
        <v>32</v>
      </c>
      <c r="AA629">
        <f t="shared" si="51"/>
        <v>-42.271723123340692</v>
      </c>
      <c r="AB629">
        <f t="shared" si="54"/>
        <v>0.4654409702187336</v>
      </c>
    </row>
    <row r="630" spans="23:28" x14ac:dyDescent="0.3">
      <c r="W630">
        <f t="shared" si="52"/>
        <v>2.1966564988861639</v>
      </c>
      <c r="Z630">
        <f t="shared" si="53"/>
        <v>32</v>
      </c>
      <c r="AA630">
        <f t="shared" si="51"/>
        <v>-42.718329781296539</v>
      </c>
      <c r="AB630">
        <f t="shared" si="54"/>
        <v>0.43134659976949657</v>
      </c>
    </row>
    <row r="631" spans="23:28" x14ac:dyDescent="0.3">
      <c r="W631">
        <f t="shared" si="52"/>
        <v>2.2783011649994576</v>
      </c>
      <c r="Z631">
        <f t="shared" si="53"/>
        <v>32</v>
      </c>
      <c r="AA631">
        <f t="shared" si="51"/>
        <v>-42.799974447409831</v>
      </c>
      <c r="AB631">
        <f t="shared" si="54"/>
        <v>0.42690955700104</v>
      </c>
    </row>
    <row r="632" spans="23:28" x14ac:dyDescent="0.3">
      <c r="W632">
        <f t="shared" si="52"/>
        <v>0</v>
      </c>
      <c r="Z632">
        <f t="shared" si="53"/>
        <v>33</v>
      </c>
      <c r="AA632">
        <f t="shared" si="51"/>
        <v>-42.799974447409838</v>
      </c>
      <c r="AB632">
        <f t="shared" si="54"/>
        <v>0.77145643900915783</v>
      </c>
    </row>
    <row r="633" spans="23:28" x14ac:dyDescent="0.3">
      <c r="W633">
        <f t="shared" si="52"/>
        <v>1.1429999999999998</v>
      </c>
      <c r="Z633">
        <f t="shared" si="53"/>
        <v>33</v>
      </c>
      <c r="AA633">
        <f t="shared" ref="AA633:AA696" si="55">$AA$55-(Z633-1)*$X$51-W633</f>
        <v>-43.942974447409838</v>
      </c>
      <c r="AB633">
        <f t="shared" si="54"/>
        <v>0.77145643900915783</v>
      </c>
    </row>
    <row r="634" spans="23:28" x14ac:dyDescent="0.3">
      <c r="W634">
        <f t="shared" si="52"/>
        <v>1.1429999999999998</v>
      </c>
      <c r="Z634">
        <f t="shared" si="53"/>
        <v>33</v>
      </c>
      <c r="AA634">
        <f t="shared" si="55"/>
        <v>-43.942974447409838</v>
      </c>
      <c r="AB634">
        <f t="shared" si="54"/>
        <v>0.77068498257014872</v>
      </c>
    </row>
    <row r="635" spans="23:28" x14ac:dyDescent="0.3">
      <c r="W635">
        <f t="shared" si="52"/>
        <v>1.1430009999999997</v>
      </c>
      <c r="Z635">
        <f t="shared" si="53"/>
        <v>33</v>
      </c>
      <c r="AA635">
        <f t="shared" si="55"/>
        <v>-43.942975447409836</v>
      </c>
      <c r="AB635">
        <f t="shared" si="54"/>
        <v>0.77067300983892906</v>
      </c>
    </row>
    <row r="636" spans="23:28" x14ac:dyDescent="0.3">
      <c r="W636">
        <f t="shared" si="52"/>
        <v>1.1435498904157428</v>
      </c>
      <c r="Z636">
        <f t="shared" si="53"/>
        <v>33</v>
      </c>
      <c r="AA636">
        <f t="shared" si="55"/>
        <v>-43.943524337825579</v>
      </c>
      <c r="AB636">
        <f t="shared" si="54"/>
        <v>0.76448695437332481</v>
      </c>
    </row>
    <row r="637" spans="23:28" x14ac:dyDescent="0.3">
      <c r="W637">
        <f t="shared" si="52"/>
        <v>1.1455954702393722</v>
      </c>
      <c r="Z637">
        <f t="shared" si="53"/>
        <v>33</v>
      </c>
      <c r="AA637">
        <f t="shared" si="55"/>
        <v>-43.945569917649209</v>
      </c>
      <c r="AB637">
        <f t="shared" si="54"/>
        <v>0.7462179928210797</v>
      </c>
    </row>
    <row r="638" spans="23:28" x14ac:dyDescent="0.3">
      <c r="W638">
        <f t="shared" si="52"/>
        <v>1.1480120980280246</v>
      </c>
      <c r="Z638">
        <f t="shared" si="53"/>
        <v>33</v>
      </c>
      <c r="AA638">
        <f t="shared" si="55"/>
        <v>-43.947986545437864</v>
      </c>
      <c r="AB638">
        <f t="shared" si="54"/>
        <v>0.73027266839631366</v>
      </c>
    </row>
    <row r="639" spans="23:28" x14ac:dyDescent="0.3">
      <c r="W639">
        <f t="shared" si="52"/>
        <v>1.1521461796584274</v>
      </c>
      <c r="Z639">
        <f t="shared" si="53"/>
        <v>33</v>
      </c>
      <c r="AA639">
        <f t="shared" si="55"/>
        <v>-43.952120627068268</v>
      </c>
      <c r="AB639">
        <f t="shared" si="54"/>
        <v>0.7101552774493437</v>
      </c>
    </row>
    <row r="640" spans="23:28" x14ac:dyDescent="0.3">
      <c r="W640">
        <f t="shared" si="52"/>
        <v>1.157464405515152</v>
      </c>
      <c r="Z640">
        <f t="shared" si="53"/>
        <v>33</v>
      </c>
      <c r="AA640">
        <f t="shared" si="55"/>
        <v>-43.957438852924987</v>
      </c>
      <c r="AB640">
        <f t="shared" si="54"/>
        <v>0.69122254011085482</v>
      </c>
    </row>
    <row r="641" spans="23:28" x14ac:dyDescent="0.3">
      <c r="W641">
        <f t="shared" si="52"/>
        <v>1.167916082410517</v>
      </c>
      <c r="Z641">
        <f t="shared" si="53"/>
        <v>33</v>
      </c>
      <c r="AA641">
        <f t="shared" si="55"/>
        <v>-43.967890529820352</v>
      </c>
      <c r="AB641">
        <f t="shared" si="54"/>
        <v>0.66499411019811316</v>
      </c>
    </row>
    <row r="642" spans="23:28" x14ac:dyDescent="0.3">
      <c r="W642">
        <f t="shared" si="52"/>
        <v>1.183100589395595</v>
      </c>
      <c r="Z642">
        <f t="shared" si="53"/>
        <v>33</v>
      </c>
      <c r="AA642">
        <f t="shared" si="55"/>
        <v>-43.983075036805431</v>
      </c>
      <c r="AB642">
        <f t="shared" si="54"/>
        <v>0.63909697400592513</v>
      </c>
    </row>
    <row r="643" spans="23:28" x14ac:dyDescent="0.3">
      <c r="W643">
        <f t="shared" si="52"/>
        <v>1.2109069376156516</v>
      </c>
      <c r="Z643">
        <f t="shared" si="53"/>
        <v>33</v>
      </c>
      <c r="AA643">
        <f t="shared" si="55"/>
        <v>-44.010881385025492</v>
      </c>
      <c r="AB643">
        <f t="shared" si="54"/>
        <v>0.60781973946339873</v>
      </c>
    </row>
    <row r="644" spans="23:28" x14ac:dyDescent="0.3">
      <c r="W644">
        <f t="shared" si="52"/>
        <v>1.2551481159424072</v>
      </c>
      <c r="Z644">
        <f t="shared" si="53"/>
        <v>33</v>
      </c>
      <c r="AA644">
        <f t="shared" si="55"/>
        <v>-44.055122563352242</v>
      </c>
      <c r="AB644">
        <f t="shared" si="54"/>
        <v>0.57612627611480016</v>
      </c>
    </row>
    <row r="645" spans="23:28" x14ac:dyDescent="0.3">
      <c r="W645">
        <f t="shared" si="52"/>
        <v>1.338434015864528</v>
      </c>
      <c r="Z645">
        <f t="shared" si="53"/>
        <v>33</v>
      </c>
      <c r="AA645">
        <f t="shared" si="55"/>
        <v>-44.138408463274367</v>
      </c>
      <c r="AB645">
        <f t="shared" si="54"/>
        <v>0.53973940308666546</v>
      </c>
    </row>
    <row r="646" spans="23:28" x14ac:dyDescent="0.3">
      <c r="W646">
        <f t="shared" si="52"/>
        <v>1.4752504388228256</v>
      </c>
      <c r="Z646">
        <f t="shared" si="53"/>
        <v>33</v>
      </c>
      <c r="AA646">
        <f t="shared" si="55"/>
        <v>-44.275224886232664</v>
      </c>
      <c r="AB646">
        <f t="shared" si="54"/>
        <v>0.50459598065778399</v>
      </c>
    </row>
    <row r="647" spans="23:28" x14ac:dyDescent="0.3">
      <c r="W647">
        <f t="shared" si="52"/>
        <v>1.7500498409303191</v>
      </c>
      <c r="Z647">
        <f t="shared" si="53"/>
        <v>33</v>
      </c>
      <c r="AA647">
        <f t="shared" si="55"/>
        <v>-44.550024288340154</v>
      </c>
      <c r="AB647">
        <f t="shared" si="54"/>
        <v>0.4654409702187336</v>
      </c>
    </row>
    <row r="648" spans="23:28" x14ac:dyDescent="0.3">
      <c r="W648">
        <f t="shared" si="52"/>
        <v>2.1966564988861639</v>
      </c>
      <c r="Z648">
        <f t="shared" si="53"/>
        <v>33</v>
      </c>
      <c r="AA648">
        <f t="shared" si="55"/>
        <v>-44.996630946296001</v>
      </c>
      <c r="AB648">
        <f t="shared" si="54"/>
        <v>0.43134659976949657</v>
      </c>
    </row>
    <row r="649" spans="23:28" x14ac:dyDescent="0.3">
      <c r="W649">
        <f t="shared" si="52"/>
        <v>2.2783011649994576</v>
      </c>
      <c r="Z649">
        <f t="shared" si="53"/>
        <v>33</v>
      </c>
      <c r="AA649">
        <f t="shared" si="55"/>
        <v>-45.078275612409293</v>
      </c>
      <c r="AB649">
        <f t="shared" si="54"/>
        <v>0.42690955700104</v>
      </c>
    </row>
    <row r="650" spans="23:28" x14ac:dyDescent="0.3">
      <c r="W650">
        <f t="shared" si="52"/>
        <v>0</v>
      </c>
      <c r="Z650">
        <f t="shared" si="53"/>
        <v>34</v>
      </c>
      <c r="AA650">
        <f t="shared" si="55"/>
        <v>-45.0782756124093</v>
      </c>
      <c r="AB650">
        <f t="shared" si="54"/>
        <v>0.77145643900915783</v>
      </c>
    </row>
    <row r="651" spans="23:28" x14ac:dyDescent="0.3">
      <c r="W651">
        <f t="shared" ref="W651:W714" si="56">W633</f>
        <v>1.1429999999999998</v>
      </c>
      <c r="Z651">
        <f t="shared" ref="Z651:Z714" si="57">Z633+1</f>
        <v>34</v>
      </c>
      <c r="AA651">
        <f t="shared" si="55"/>
        <v>-46.2212756124093</v>
      </c>
      <c r="AB651">
        <f t="shared" ref="AB651:AB714" si="58">AB633</f>
        <v>0.77145643900915783</v>
      </c>
    </row>
    <row r="652" spans="23:28" x14ac:dyDescent="0.3">
      <c r="W652">
        <f t="shared" si="56"/>
        <v>1.1429999999999998</v>
      </c>
      <c r="Z652">
        <f t="shared" si="57"/>
        <v>34</v>
      </c>
      <c r="AA652">
        <f t="shared" si="55"/>
        <v>-46.2212756124093</v>
      </c>
      <c r="AB652">
        <f t="shared" si="58"/>
        <v>0.77068498257014872</v>
      </c>
    </row>
    <row r="653" spans="23:28" x14ac:dyDescent="0.3">
      <c r="W653">
        <f t="shared" si="56"/>
        <v>1.1430009999999997</v>
      </c>
      <c r="Z653">
        <f t="shared" si="57"/>
        <v>34</v>
      </c>
      <c r="AA653">
        <f t="shared" si="55"/>
        <v>-46.221276612409298</v>
      </c>
      <c r="AB653">
        <f t="shared" si="58"/>
        <v>0.77067300983892906</v>
      </c>
    </row>
    <row r="654" spans="23:28" x14ac:dyDescent="0.3">
      <c r="W654">
        <f t="shared" si="56"/>
        <v>1.1435498904157428</v>
      </c>
      <c r="Z654">
        <f t="shared" si="57"/>
        <v>34</v>
      </c>
      <c r="AA654">
        <f t="shared" si="55"/>
        <v>-46.221825502825041</v>
      </c>
      <c r="AB654">
        <f t="shared" si="58"/>
        <v>0.76448695437332481</v>
      </c>
    </row>
    <row r="655" spans="23:28" x14ac:dyDescent="0.3">
      <c r="W655">
        <f t="shared" si="56"/>
        <v>1.1455954702393722</v>
      </c>
      <c r="Z655">
        <f t="shared" si="57"/>
        <v>34</v>
      </c>
      <c r="AA655">
        <f t="shared" si="55"/>
        <v>-46.223871082648671</v>
      </c>
      <c r="AB655">
        <f t="shared" si="58"/>
        <v>0.7462179928210797</v>
      </c>
    </row>
    <row r="656" spans="23:28" x14ac:dyDescent="0.3">
      <c r="W656">
        <f t="shared" si="56"/>
        <v>1.1480120980280246</v>
      </c>
      <c r="Z656">
        <f t="shared" si="57"/>
        <v>34</v>
      </c>
      <c r="AA656">
        <f t="shared" si="55"/>
        <v>-46.226287710437326</v>
      </c>
      <c r="AB656">
        <f t="shared" si="58"/>
        <v>0.73027266839631366</v>
      </c>
    </row>
    <row r="657" spans="23:28" x14ac:dyDescent="0.3">
      <c r="W657">
        <f t="shared" si="56"/>
        <v>1.1521461796584274</v>
      </c>
      <c r="Z657">
        <f t="shared" si="57"/>
        <v>34</v>
      </c>
      <c r="AA657">
        <f t="shared" si="55"/>
        <v>-46.23042179206773</v>
      </c>
      <c r="AB657">
        <f t="shared" si="58"/>
        <v>0.7101552774493437</v>
      </c>
    </row>
    <row r="658" spans="23:28" x14ac:dyDescent="0.3">
      <c r="W658">
        <f t="shared" si="56"/>
        <v>1.157464405515152</v>
      </c>
      <c r="Z658">
        <f t="shared" si="57"/>
        <v>34</v>
      </c>
      <c r="AA658">
        <f t="shared" si="55"/>
        <v>-46.235740017924449</v>
      </c>
      <c r="AB658">
        <f t="shared" si="58"/>
        <v>0.69122254011085482</v>
      </c>
    </row>
    <row r="659" spans="23:28" x14ac:dyDescent="0.3">
      <c r="W659">
        <f t="shared" si="56"/>
        <v>1.167916082410517</v>
      </c>
      <c r="Z659">
        <f t="shared" si="57"/>
        <v>34</v>
      </c>
      <c r="AA659">
        <f t="shared" si="55"/>
        <v>-46.246191694819814</v>
      </c>
      <c r="AB659">
        <f t="shared" si="58"/>
        <v>0.66499411019811316</v>
      </c>
    </row>
    <row r="660" spans="23:28" x14ac:dyDescent="0.3">
      <c r="W660">
        <f t="shared" si="56"/>
        <v>1.183100589395595</v>
      </c>
      <c r="Z660">
        <f t="shared" si="57"/>
        <v>34</v>
      </c>
      <c r="AA660">
        <f t="shared" si="55"/>
        <v>-46.261376201804893</v>
      </c>
      <c r="AB660">
        <f t="shared" si="58"/>
        <v>0.63909697400592513</v>
      </c>
    </row>
    <row r="661" spans="23:28" x14ac:dyDescent="0.3">
      <c r="W661">
        <f t="shared" si="56"/>
        <v>1.2109069376156516</v>
      </c>
      <c r="Z661">
        <f t="shared" si="57"/>
        <v>34</v>
      </c>
      <c r="AA661">
        <f t="shared" si="55"/>
        <v>-46.289182550024954</v>
      </c>
      <c r="AB661">
        <f t="shared" si="58"/>
        <v>0.60781973946339873</v>
      </c>
    </row>
    <row r="662" spans="23:28" x14ac:dyDescent="0.3">
      <c r="W662">
        <f t="shared" si="56"/>
        <v>1.2551481159424072</v>
      </c>
      <c r="Z662">
        <f t="shared" si="57"/>
        <v>34</v>
      </c>
      <c r="AA662">
        <f t="shared" si="55"/>
        <v>-46.333423728351704</v>
      </c>
      <c r="AB662">
        <f t="shared" si="58"/>
        <v>0.57612627611480016</v>
      </c>
    </row>
    <row r="663" spans="23:28" x14ac:dyDescent="0.3">
      <c r="W663">
        <f t="shared" si="56"/>
        <v>1.338434015864528</v>
      </c>
      <c r="Z663">
        <f t="shared" si="57"/>
        <v>34</v>
      </c>
      <c r="AA663">
        <f t="shared" si="55"/>
        <v>-46.416709628273829</v>
      </c>
      <c r="AB663">
        <f t="shared" si="58"/>
        <v>0.53973940308666546</v>
      </c>
    </row>
    <row r="664" spans="23:28" x14ac:dyDescent="0.3">
      <c r="W664">
        <f t="shared" si="56"/>
        <v>1.4752504388228256</v>
      </c>
      <c r="Z664">
        <f t="shared" si="57"/>
        <v>34</v>
      </c>
      <c r="AA664">
        <f t="shared" si="55"/>
        <v>-46.553526051232126</v>
      </c>
      <c r="AB664">
        <f t="shared" si="58"/>
        <v>0.50459598065778399</v>
      </c>
    </row>
    <row r="665" spans="23:28" x14ac:dyDescent="0.3">
      <c r="W665">
        <f t="shared" si="56"/>
        <v>1.7500498409303191</v>
      </c>
      <c r="Z665">
        <f t="shared" si="57"/>
        <v>34</v>
      </c>
      <c r="AA665">
        <f t="shared" si="55"/>
        <v>-46.828325453339616</v>
      </c>
      <c r="AB665">
        <f t="shared" si="58"/>
        <v>0.4654409702187336</v>
      </c>
    </row>
    <row r="666" spans="23:28" x14ac:dyDescent="0.3">
      <c r="W666">
        <f t="shared" si="56"/>
        <v>2.1966564988861639</v>
      </c>
      <c r="Z666">
        <f t="shared" si="57"/>
        <v>34</v>
      </c>
      <c r="AA666">
        <f t="shared" si="55"/>
        <v>-47.274932111295463</v>
      </c>
      <c r="AB666">
        <f t="shared" si="58"/>
        <v>0.43134659976949657</v>
      </c>
    </row>
    <row r="667" spans="23:28" x14ac:dyDescent="0.3">
      <c r="W667">
        <f t="shared" si="56"/>
        <v>2.2783011649994576</v>
      </c>
      <c r="Z667">
        <f t="shared" si="57"/>
        <v>34</v>
      </c>
      <c r="AA667">
        <f t="shared" si="55"/>
        <v>-47.356576777408755</v>
      </c>
      <c r="AB667">
        <f t="shared" si="58"/>
        <v>0.42690955700104</v>
      </c>
    </row>
    <row r="668" spans="23:28" x14ac:dyDescent="0.3">
      <c r="W668">
        <f t="shared" si="56"/>
        <v>0</v>
      </c>
      <c r="Z668">
        <f t="shared" si="57"/>
        <v>35</v>
      </c>
      <c r="AA668">
        <f t="shared" si="55"/>
        <v>-47.356576777408748</v>
      </c>
      <c r="AB668">
        <f t="shared" si="58"/>
        <v>0.77145643900915783</v>
      </c>
    </row>
    <row r="669" spans="23:28" x14ac:dyDescent="0.3">
      <c r="W669">
        <f t="shared" si="56"/>
        <v>1.1429999999999998</v>
      </c>
      <c r="Z669">
        <f t="shared" si="57"/>
        <v>35</v>
      </c>
      <c r="AA669">
        <f t="shared" si="55"/>
        <v>-48.499576777408748</v>
      </c>
      <c r="AB669">
        <f t="shared" si="58"/>
        <v>0.77145643900915783</v>
      </c>
    </row>
    <row r="670" spans="23:28" x14ac:dyDescent="0.3">
      <c r="W670">
        <f t="shared" si="56"/>
        <v>1.1429999999999998</v>
      </c>
      <c r="Z670">
        <f t="shared" si="57"/>
        <v>35</v>
      </c>
      <c r="AA670">
        <f t="shared" si="55"/>
        <v>-48.499576777408748</v>
      </c>
      <c r="AB670">
        <f t="shared" si="58"/>
        <v>0.77068498257014872</v>
      </c>
    </row>
    <row r="671" spans="23:28" x14ac:dyDescent="0.3">
      <c r="W671">
        <f t="shared" si="56"/>
        <v>1.1430009999999997</v>
      </c>
      <c r="Z671">
        <f t="shared" si="57"/>
        <v>35</v>
      </c>
      <c r="AA671">
        <f t="shared" si="55"/>
        <v>-48.499577777408746</v>
      </c>
      <c r="AB671">
        <f t="shared" si="58"/>
        <v>0.77067300983892906</v>
      </c>
    </row>
    <row r="672" spans="23:28" x14ac:dyDescent="0.3">
      <c r="W672">
        <f t="shared" si="56"/>
        <v>1.1435498904157428</v>
      </c>
      <c r="Z672">
        <f t="shared" si="57"/>
        <v>35</v>
      </c>
      <c r="AA672">
        <f t="shared" si="55"/>
        <v>-48.500126667824489</v>
      </c>
      <c r="AB672">
        <f t="shared" si="58"/>
        <v>0.76448695437332481</v>
      </c>
    </row>
    <row r="673" spans="23:28" x14ac:dyDescent="0.3">
      <c r="W673">
        <f t="shared" si="56"/>
        <v>1.1455954702393722</v>
      </c>
      <c r="Z673">
        <f t="shared" si="57"/>
        <v>35</v>
      </c>
      <c r="AA673">
        <f t="shared" si="55"/>
        <v>-48.502172247648119</v>
      </c>
      <c r="AB673">
        <f t="shared" si="58"/>
        <v>0.7462179928210797</v>
      </c>
    </row>
    <row r="674" spans="23:28" x14ac:dyDescent="0.3">
      <c r="W674">
        <f t="shared" si="56"/>
        <v>1.1480120980280246</v>
      </c>
      <c r="Z674">
        <f t="shared" si="57"/>
        <v>35</v>
      </c>
      <c r="AA674">
        <f t="shared" si="55"/>
        <v>-48.504588875436774</v>
      </c>
      <c r="AB674">
        <f t="shared" si="58"/>
        <v>0.73027266839631366</v>
      </c>
    </row>
    <row r="675" spans="23:28" x14ac:dyDescent="0.3">
      <c r="W675">
        <f t="shared" si="56"/>
        <v>1.1521461796584274</v>
      </c>
      <c r="Z675">
        <f t="shared" si="57"/>
        <v>35</v>
      </c>
      <c r="AA675">
        <f t="shared" si="55"/>
        <v>-48.508722957067178</v>
      </c>
      <c r="AB675">
        <f t="shared" si="58"/>
        <v>0.7101552774493437</v>
      </c>
    </row>
    <row r="676" spans="23:28" x14ac:dyDescent="0.3">
      <c r="W676">
        <f t="shared" si="56"/>
        <v>1.157464405515152</v>
      </c>
      <c r="Z676">
        <f t="shared" si="57"/>
        <v>35</v>
      </c>
      <c r="AA676">
        <f t="shared" si="55"/>
        <v>-48.514041182923897</v>
      </c>
      <c r="AB676">
        <f t="shared" si="58"/>
        <v>0.69122254011085482</v>
      </c>
    </row>
    <row r="677" spans="23:28" x14ac:dyDescent="0.3">
      <c r="W677">
        <f t="shared" si="56"/>
        <v>1.167916082410517</v>
      </c>
      <c r="Z677">
        <f t="shared" si="57"/>
        <v>35</v>
      </c>
      <c r="AA677">
        <f t="shared" si="55"/>
        <v>-48.524492859819262</v>
      </c>
      <c r="AB677">
        <f t="shared" si="58"/>
        <v>0.66499411019811316</v>
      </c>
    </row>
    <row r="678" spans="23:28" x14ac:dyDescent="0.3">
      <c r="W678">
        <f t="shared" si="56"/>
        <v>1.183100589395595</v>
      </c>
      <c r="Z678">
        <f t="shared" si="57"/>
        <v>35</v>
      </c>
      <c r="AA678">
        <f t="shared" si="55"/>
        <v>-48.539677366804341</v>
      </c>
      <c r="AB678">
        <f t="shared" si="58"/>
        <v>0.63909697400592513</v>
      </c>
    </row>
    <row r="679" spans="23:28" x14ac:dyDescent="0.3">
      <c r="W679">
        <f t="shared" si="56"/>
        <v>1.2109069376156516</v>
      </c>
      <c r="Z679">
        <f t="shared" si="57"/>
        <v>35</v>
      </c>
      <c r="AA679">
        <f t="shared" si="55"/>
        <v>-48.567483715024402</v>
      </c>
      <c r="AB679">
        <f t="shared" si="58"/>
        <v>0.60781973946339873</v>
      </c>
    </row>
    <row r="680" spans="23:28" x14ac:dyDescent="0.3">
      <c r="W680">
        <f t="shared" si="56"/>
        <v>1.2551481159424072</v>
      </c>
      <c r="Z680">
        <f t="shared" si="57"/>
        <v>35</v>
      </c>
      <c r="AA680">
        <f t="shared" si="55"/>
        <v>-48.611724893351152</v>
      </c>
      <c r="AB680">
        <f t="shared" si="58"/>
        <v>0.57612627611480016</v>
      </c>
    </row>
    <row r="681" spans="23:28" x14ac:dyDescent="0.3">
      <c r="W681">
        <f t="shared" si="56"/>
        <v>1.338434015864528</v>
      </c>
      <c r="Z681">
        <f t="shared" si="57"/>
        <v>35</v>
      </c>
      <c r="AA681">
        <f t="shared" si="55"/>
        <v>-48.695010793273276</v>
      </c>
      <c r="AB681">
        <f t="shared" si="58"/>
        <v>0.53973940308666546</v>
      </c>
    </row>
    <row r="682" spans="23:28" x14ac:dyDescent="0.3">
      <c r="W682">
        <f t="shared" si="56"/>
        <v>1.4752504388228256</v>
      </c>
      <c r="Z682">
        <f t="shared" si="57"/>
        <v>35</v>
      </c>
      <c r="AA682">
        <f t="shared" si="55"/>
        <v>-48.831827216231574</v>
      </c>
      <c r="AB682">
        <f t="shared" si="58"/>
        <v>0.50459598065778399</v>
      </c>
    </row>
    <row r="683" spans="23:28" x14ac:dyDescent="0.3">
      <c r="W683">
        <f t="shared" si="56"/>
        <v>1.7500498409303191</v>
      </c>
      <c r="Z683">
        <f t="shared" si="57"/>
        <v>35</v>
      </c>
      <c r="AA683">
        <f t="shared" si="55"/>
        <v>-49.106626618339064</v>
      </c>
      <c r="AB683">
        <f t="shared" si="58"/>
        <v>0.4654409702187336</v>
      </c>
    </row>
    <row r="684" spans="23:28" x14ac:dyDescent="0.3">
      <c r="W684">
        <f t="shared" si="56"/>
        <v>2.1966564988861639</v>
      </c>
      <c r="Z684">
        <f t="shared" si="57"/>
        <v>35</v>
      </c>
      <c r="AA684">
        <f t="shared" si="55"/>
        <v>-49.553233276294911</v>
      </c>
      <c r="AB684">
        <f t="shared" si="58"/>
        <v>0.43134659976949657</v>
      </c>
    </row>
    <row r="685" spans="23:28" x14ac:dyDescent="0.3">
      <c r="W685">
        <f t="shared" si="56"/>
        <v>2.2783011649994576</v>
      </c>
      <c r="Z685">
        <f t="shared" si="57"/>
        <v>35</v>
      </c>
      <c r="AA685">
        <f t="shared" si="55"/>
        <v>-49.634877942408203</v>
      </c>
      <c r="AB685">
        <f t="shared" si="58"/>
        <v>0.42690955700104</v>
      </c>
    </row>
    <row r="686" spans="23:28" x14ac:dyDescent="0.3">
      <c r="W686">
        <f t="shared" si="56"/>
        <v>0</v>
      </c>
      <c r="Z686">
        <f t="shared" si="57"/>
        <v>36</v>
      </c>
      <c r="AA686">
        <f t="shared" si="55"/>
        <v>-49.63487794240821</v>
      </c>
      <c r="AB686">
        <f t="shared" si="58"/>
        <v>0.77145643900915783</v>
      </c>
    </row>
    <row r="687" spans="23:28" x14ac:dyDescent="0.3">
      <c r="W687">
        <f t="shared" si="56"/>
        <v>1.1429999999999998</v>
      </c>
      <c r="Z687">
        <f t="shared" si="57"/>
        <v>36</v>
      </c>
      <c r="AA687">
        <f t="shared" si="55"/>
        <v>-50.77787794240821</v>
      </c>
      <c r="AB687">
        <f t="shared" si="58"/>
        <v>0.77145643900915783</v>
      </c>
    </row>
    <row r="688" spans="23:28" x14ac:dyDescent="0.3">
      <c r="W688">
        <f t="shared" si="56"/>
        <v>1.1429999999999998</v>
      </c>
      <c r="Z688">
        <f t="shared" si="57"/>
        <v>36</v>
      </c>
      <c r="AA688">
        <f t="shared" si="55"/>
        <v>-50.77787794240821</v>
      </c>
      <c r="AB688">
        <f t="shared" si="58"/>
        <v>0.77068498257014872</v>
      </c>
    </row>
    <row r="689" spans="23:28" x14ac:dyDescent="0.3">
      <c r="W689">
        <f t="shared" si="56"/>
        <v>1.1430009999999997</v>
      </c>
      <c r="Z689">
        <f t="shared" si="57"/>
        <v>36</v>
      </c>
      <c r="AA689">
        <f t="shared" si="55"/>
        <v>-50.777878942408208</v>
      </c>
      <c r="AB689">
        <f t="shared" si="58"/>
        <v>0.77067300983892906</v>
      </c>
    </row>
    <row r="690" spans="23:28" x14ac:dyDescent="0.3">
      <c r="W690">
        <f t="shared" si="56"/>
        <v>1.1435498904157428</v>
      </c>
      <c r="Z690">
        <f t="shared" si="57"/>
        <v>36</v>
      </c>
      <c r="AA690">
        <f t="shared" si="55"/>
        <v>-50.778427832823951</v>
      </c>
      <c r="AB690">
        <f t="shared" si="58"/>
        <v>0.76448695437332481</v>
      </c>
    </row>
    <row r="691" spans="23:28" x14ac:dyDescent="0.3">
      <c r="W691">
        <f t="shared" si="56"/>
        <v>1.1455954702393722</v>
      </c>
      <c r="Z691">
        <f t="shared" si="57"/>
        <v>36</v>
      </c>
      <c r="AA691">
        <f t="shared" si="55"/>
        <v>-50.780473412647581</v>
      </c>
      <c r="AB691">
        <f t="shared" si="58"/>
        <v>0.7462179928210797</v>
      </c>
    </row>
    <row r="692" spans="23:28" x14ac:dyDescent="0.3">
      <c r="W692">
        <f t="shared" si="56"/>
        <v>1.1480120980280246</v>
      </c>
      <c r="Z692">
        <f t="shared" si="57"/>
        <v>36</v>
      </c>
      <c r="AA692">
        <f t="shared" si="55"/>
        <v>-50.782890040436236</v>
      </c>
      <c r="AB692">
        <f t="shared" si="58"/>
        <v>0.73027266839631366</v>
      </c>
    </row>
    <row r="693" spans="23:28" x14ac:dyDescent="0.3">
      <c r="W693">
        <f t="shared" si="56"/>
        <v>1.1521461796584274</v>
      </c>
      <c r="Z693">
        <f t="shared" si="57"/>
        <v>36</v>
      </c>
      <c r="AA693">
        <f t="shared" si="55"/>
        <v>-50.78702412206664</v>
      </c>
      <c r="AB693">
        <f t="shared" si="58"/>
        <v>0.7101552774493437</v>
      </c>
    </row>
    <row r="694" spans="23:28" x14ac:dyDescent="0.3">
      <c r="W694">
        <f t="shared" si="56"/>
        <v>1.157464405515152</v>
      </c>
      <c r="Z694">
        <f t="shared" si="57"/>
        <v>36</v>
      </c>
      <c r="AA694">
        <f t="shared" si="55"/>
        <v>-50.792342347923359</v>
      </c>
      <c r="AB694">
        <f t="shared" si="58"/>
        <v>0.69122254011085482</v>
      </c>
    </row>
    <row r="695" spans="23:28" x14ac:dyDescent="0.3">
      <c r="W695">
        <f t="shared" si="56"/>
        <v>1.167916082410517</v>
      </c>
      <c r="Z695">
        <f t="shared" si="57"/>
        <v>36</v>
      </c>
      <c r="AA695">
        <f t="shared" si="55"/>
        <v>-50.802794024818724</v>
      </c>
      <c r="AB695">
        <f t="shared" si="58"/>
        <v>0.66499411019811316</v>
      </c>
    </row>
    <row r="696" spans="23:28" x14ac:dyDescent="0.3">
      <c r="W696">
        <f t="shared" si="56"/>
        <v>1.183100589395595</v>
      </c>
      <c r="Z696">
        <f t="shared" si="57"/>
        <v>36</v>
      </c>
      <c r="AA696">
        <f t="shared" si="55"/>
        <v>-50.817978531803803</v>
      </c>
      <c r="AB696">
        <f t="shared" si="58"/>
        <v>0.63909697400592513</v>
      </c>
    </row>
    <row r="697" spans="23:28" x14ac:dyDescent="0.3">
      <c r="W697">
        <f t="shared" si="56"/>
        <v>1.2109069376156516</v>
      </c>
      <c r="Z697">
        <f t="shared" si="57"/>
        <v>36</v>
      </c>
      <c r="AA697">
        <f t="shared" ref="AA697:AA731" si="59">$AA$55-(Z697-1)*$X$51-W697</f>
        <v>-50.845784880023864</v>
      </c>
      <c r="AB697">
        <f t="shared" si="58"/>
        <v>0.60781973946339873</v>
      </c>
    </row>
    <row r="698" spans="23:28" x14ac:dyDescent="0.3">
      <c r="W698">
        <f t="shared" si="56"/>
        <v>1.2551481159424072</v>
      </c>
      <c r="Z698">
        <f t="shared" si="57"/>
        <v>36</v>
      </c>
      <c r="AA698">
        <f t="shared" si="59"/>
        <v>-50.890026058350614</v>
      </c>
      <c r="AB698">
        <f t="shared" si="58"/>
        <v>0.57612627611480016</v>
      </c>
    </row>
    <row r="699" spans="23:28" x14ac:dyDescent="0.3">
      <c r="W699">
        <f t="shared" si="56"/>
        <v>1.338434015864528</v>
      </c>
      <c r="Z699">
        <f t="shared" si="57"/>
        <v>36</v>
      </c>
      <c r="AA699">
        <f t="shared" si="59"/>
        <v>-50.973311958272738</v>
      </c>
      <c r="AB699">
        <f t="shared" si="58"/>
        <v>0.53973940308666546</v>
      </c>
    </row>
    <row r="700" spans="23:28" x14ac:dyDescent="0.3">
      <c r="W700">
        <f t="shared" si="56"/>
        <v>1.4752504388228256</v>
      </c>
      <c r="Z700">
        <f t="shared" si="57"/>
        <v>36</v>
      </c>
      <c r="AA700">
        <f t="shared" si="59"/>
        <v>-51.110128381231036</v>
      </c>
      <c r="AB700">
        <f t="shared" si="58"/>
        <v>0.50459598065778399</v>
      </c>
    </row>
    <row r="701" spans="23:28" x14ac:dyDescent="0.3">
      <c r="W701">
        <f t="shared" si="56"/>
        <v>1.7500498409303191</v>
      </c>
      <c r="Z701">
        <f t="shared" si="57"/>
        <v>36</v>
      </c>
      <c r="AA701">
        <f t="shared" si="59"/>
        <v>-51.384927783338526</v>
      </c>
      <c r="AB701">
        <f t="shared" si="58"/>
        <v>0.4654409702187336</v>
      </c>
    </row>
    <row r="702" spans="23:28" x14ac:dyDescent="0.3">
      <c r="W702">
        <f t="shared" si="56"/>
        <v>2.1966564988861639</v>
      </c>
      <c r="Z702">
        <f t="shared" si="57"/>
        <v>36</v>
      </c>
      <c r="AA702">
        <f t="shared" si="59"/>
        <v>-51.831534441294373</v>
      </c>
      <c r="AB702">
        <f t="shared" si="58"/>
        <v>0.43134659976949657</v>
      </c>
    </row>
    <row r="703" spans="23:28" x14ac:dyDescent="0.3">
      <c r="W703">
        <f t="shared" si="56"/>
        <v>2.2783011649994576</v>
      </c>
      <c r="Z703">
        <f t="shared" si="57"/>
        <v>36</v>
      </c>
      <c r="AA703">
        <f t="shared" si="59"/>
        <v>-51.913179107407665</v>
      </c>
      <c r="AB703">
        <f t="shared" si="58"/>
        <v>0.42690955700104</v>
      </c>
    </row>
    <row r="704" spans="23:28" x14ac:dyDescent="0.3">
      <c r="W704">
        <f t="shared" si="56"/>
        <v>0</v>
      </c>
      <c r="Z704">
        <f t="shared" si="57"/>
        <v>37</v>
      </c>
      <c r="AA704">
        <f t="shared" si="59"/>
        <v>-51.913179107407672</v>
      </c>
      <c r="AB704">
        <f t="shared" si="58"/>
        <v>0.77145643900915783</v>
      </c>
    </row>
    <row r="705" spans="23:28" x14ac:dyDescent="0.3">
      <c r="W705">
        <f t="shared" si="56"/>
        <v>1.1429999999999998</v>
      </c>
      <c r="Z705">
        <f t="shared" si="57"/>
        <v>37</v>
      </c>
      <c r="AA705">
        <f t="shared" si="59"/>
        <v>-53.056179107407672</v>
      </c>
      <c r="AB705">
        <f t="shared" si="58"/>
        <v>0.77145643900915783</v>
      </c>
    </row>
    <row r="706" spans="23:28" x14ac:dyDescent="0.3">
      <c r="W706">
        <f t="shared" si="56"/>
        <v>1.1429999999999998</v>
      </c>
      <c r="Z706">
        <f t="shared" si="57"/>
        <v>37</v>
      </c>
      <c r="AA706">
        <f t="shared" si="59"/>
        <v>-53.056179107407672</v>
      </c>
      <c r="AB706">
        <f t="shared" si="58"/>
        <v>0.77068498257014872</v>
      </c>
    </row>
    <row r="707" spans="23:28" x14ac:dyDescent="0.3">
      <c r="W707">
        <f t="shared" si="56"/>
        <v>1.1430009999999997</v>
      </c>
      <c r="Z707">
        <f t="shared" si="57"/>
        <v>37</v>
      </c>
      <c r="AA707">
        <f t="shared" si="59"/>
        <v>-53.05618010740767</v>
      </c>
      <c r="AB707">
        <f t="shared" si="58"/>
        <v>0.77067300983892906</v>
      </c>
    </row>
    <row r="708" spans="23:28" x14ac:dyDescent="0.3">
      <c r="W708">
        <f t="shared" si="56"/>
        <v>1.1435498904157428</v>
      </c>
      <c r="Z708">
        <f t="shared" si="57"/>
        <v>37</v>
      </c>
      <c r="AA708">
        <f t="shared" si="59"/>
        <v>-53.056728997823413</v>
      </c>
      <c r="AB708">
        <f t="shared" si="58"/>
        <v>0.76448695437332481</v>
      </c>
    </row>
    <row r="709" spans="23:28" x14ac:dyDescent="0.3">
      <c r="W709">
        <f t="shared" si="56"/>
        <v>1.1455954702393722</v>
      </c>
      <c r="Z709">
        <f t="shared" si="57"/>
        <v>37</v>
      </c>
      <c r="AA709">
        <f t="shared" si="59"/>
        <v>-53.058774577647043</v>
      </c>
      <c r="AB709">
        <f t="shared" si="58"/>
        <v>0.7462179928210797</v>
      </c>
    </row>
    <row r="710" spans="23:28" x14ac:dyDescent="0.3">
      <c r="W710">
        <f t="shared" si="56"/>
        <v>1.1480120980280246</v>
      </c>
      <c r="Z710">
        <f t="shared" si="57"/>
        <v>37</v>
      </c>
      <c r="AA710">
        <f t="shared" si="59"/>
        <v>-53.061191205435698</v>
      </c>
      <c r="AB710">
        <f t="shared" si="58"/>
        <v>0.73027266839631366</v>
      </c>
    </row>
    <row r="711" spans="23:28" x14ac:dyDescent="0.3">
      <c r="W711">
        <f t="shared" si="56"/>
        <v>1.1521461796584274</v>
      </c>
      <c r="Z711">
        <f t="shared" si="57"/>
        <v>37</v>
      </c>
      <c r="AA711">
        <f t="shared" si="59"/>
        <v>-53.065325287066102</v>
      </c>
      <c r="AB711">
        <f t="shared" si="58"/>
        <v>0.7101552774493437</v>
      </c>
    </row>
    <row r="712" spans="23:28" x14ac:dyDescent="0.3">
      <c r="W712">
        <f t="shared" si="56"/>
        <v>1.157464405515152</v>
      </c>
      <c r="Z712">
        <f t="shared" si="57"/>
        <v>37</v>
      </c>
      <c r="AA712">
        <f t="shared" si="59"/>
        <v>-53.070643512922821</v>
      </c>
      <c r="AB712">
        <f t="shared" si="58"/>
        <v>0.69122254011085482</v>
      </c>
    </row>
    <row r="713" spans="23:28" x14ac:dyDescent="0.3">
      <c r="W713">
        <f t="shared" si="56"/>
        <v>1.167916082410517</v>
      </c>
      <c r="Z713">
        <f t="shared" si="57"/>
        <v>37</v>
      </c>
      <c r="AA713">
        <f t="shared" si="59"/>
        <v>-53.081095189818186</v>
      </c>
      <c r="AB713">
        <f t="shared" si="58"/>
        <v>0.66499411019811316</v>
      </c>
    </row>
    <row r="714" spans="23:28" x14ac:dyDescent="0.3">
      <c r="W714">
        <f t="shared" si="56"/>
        <v>1.183100589395595</v>
      </c>
      <c r="Z714">
        <f t="shared" si="57"/>
        <v>37</v>
      </c>
      <c r="AA714">
        <f t="shared" si="59"/>
        <v>-53.096279696803265</v>
      </c>
      <c r="AB714">
        <f t="shared" si="58"/>
        <v>0.63909697400592513</v>
      </c>
    </row>
    <row r="715" spans="23:28" x14ac:dyDescent="0.3">
      <c r="W715">
        <f t="shared" ref="W715:W731" si="60">W697</f>
        <v>1.2109069376156516</v>
      </c>
      <c r="Z715">
        <f t="shared" ref="Z715:Z731" si="61">Z697+1</f>
        <v>37</v>
      </c>
      <c r="AA715">
        <f t="shared" si="59"/>
        <v>-53.124086045023326</v>
      </c>
      <c r="AB715">
        <f t="shared" ref="AB715:AB731" si="62">AB697</f>
        <v>0.60781973946339873</v>
      </c>
    </row>
    <row r="716" spans="23:28" x14ac:dyDescent="0.3">
      <c r="W716">
        <f t="shared" si="60"/>
        <v>1.2551481159424072</v>
      </c>
      <c r="Z716">
        <f t="shared" si="61"/>
        <v>37</v>
      </c>
      <c r="AA716">
        <f t="shared" si="59"/>
        <v>-53.168327223350076</v>
      </c>
      <c r="AB716">
        <f t="shared" si="62"/>
        <v>0.57612627611480016</v>
      </c>
    </row>
    <row r="717" spans="23:28" x14ac:dyDescent="0.3">
      <c r="W717">
        <f t="shared" si="60"/>
        <v>1.338434015864528</v>
      </c>
      <c r="Z717">
        <f t="shared" si="61"/>
        <v>37</v>
      </c>
      <c r="AA717">
        <f t="shared" si="59"/>
        <v>-53.2516131232722</v>
      </c>
      <c r="AB717">
        <f t="shared" si="62"/>
        <v>0.53973940308666546</v>
      </c>
    </row>
    <row r="718" spans="23:28" x14ac:dyDescent="0.3">
      <c r="W718">
        <f t="shared" si="60"/>
        <v>1.4752504388228256</v>
      </c>
      <c r="Z718">
        <f t="shared" si="61"/>
        <v>37</v>
      </c>
      <c r="AA718">
        <f t="shared" si="59"/>
        <v>-53.388429546230498</v>
      </c>
      <c r="AB718">
        <f t="shared" si="62"/>
        <v>0.50459598065778399</v>
      </c>
    </row>
    <row r="719" spans="23:28" x14ac:dyDescent="0.3">
      <c r="W719">
        <f t="shared" si="60"/>
        <v>1.7500498409303191</v>
      </c>
      <c r="Z719">
        <f t="shared" si="61"/>
        <v>37</v>
      </c>
      <c r="AA719">
        <f t="shared" si="59"/>
        <v>-53.663228948337988</v>
      </c>
      <c r="AB719">
        <f t="shared" si="62"/>
        <v>0.4654409702187336</v>
      </c>
    </row>
    <row r="720" spans="23:28" x14ac:dyDescent="0.3">
      <c r="W720">
        <f t="shared" si="60"/>
        <v>2.1966564988861639</v>
      </c>
      <c r="Z720">
        <f t="shared" si="61"/>
        <v>37</v>
      </c>
      <c r="AA720">
        <f t="shared" si="59"/>
        <v>-54.109835606293835</v>
      </c>
      <c r="AB720">
        <f t="shared" si="62"/>
        <v>0.43134659976949657</v>
      </c>
    </row>
    <row r="721" spans="23:28" x14ac:dyDescent="0.3">
      <c r="W721">
        <f t="shared" si="60"/>
        <v>2.2783011649994576</v>
      </c>
      <c r="Z721">
        <f t="shared" si="61"/>
        <v>37</v>
      </c>
      <c r="AA721">
        <f t="shared" si="59"/>
        <v>-54.191480272407127</v>
      </c>
      <c r="AB721">
        <f t="shared" si="62"/>
        <v>0.42690955700104</v>
      </c>
    </row>
    <row r="722" spans="23:28" x14ac:dyDescent="0.3">
      <c r="W722">
        <f t="shared" si="60"/>
        <v>0</v>
      </c>
      <c r="Z722">
        <f t="shared" si="61"/>
        <v>38</v>
      </c>
      <c r="AA722">
        <f t="shared" si="59"/>
        <v>-54.191480272407119</v>
      </c>
      <c r="AB722">
        <f t="shared" si="62"/>
        <v>0.77145643900915783</v>
      </c>
    </row>
    <row r="723" spans="23:28" x14ac:dyDescent="0.3">
      <c r="W723">
        <f t="shared" si="60"/>
        <v>1.1429999999999998</v>
      </c>
      <c r="Z723">
        <f t="shared" si="61"/>
        <v>38</v>
      </c>
      <c r="AA723">
        <f t="shared" si="59"/>
        <v>-55.33448027240712</v>
      </c>
      <c r="AB723">
        <f t="shared" si="62"/>
        <v>0.77145643900915783</v>
      </c>
    </row>
    <row r="724" spans="23:28" x14ac:dyDescent="0.3">
      <c r="W724">
        <f t="shared" si="60"/>
        <v>1.1429999999999998</v>
      </c>
      <c r="Z724">
        <f t="shared" si="61"/>
        <v>38</v>
      </c>
      <c r="AA724">
        <f t="shared" si="59"/>
        <v>-55.33448027240712</v>
      </c>
      <c r="AB724">
        <f t="shared" si="62"/>
        <v>0.77068498257014872</v>
      </c>
    </row>
    <row r="725" spans="23:28" x14ac:dyDescent="0.3">
      <c r="W725">
        <f t="shared" si="60"/>
        <v>1.1430009999999997</v>
      </c>
      <c r="Z725">
        <f t="shared" si="61"/>
        <v>38</v>
      </c>
      <c r="AA725">
        <f t="shared" si="59"/>
        <v>-55.334481272407118</v>
      </c>
      <c r="AB725">
        <f t="shared" si="62"/>
        <v>0.77067300983892906</v>
      </c>
    </row>
    <row r="726" spans="23:28" x14ac:dyDescent="0.3">
      <c r="W726">
        <f t="shared" si="60"/>
        <v>1.1435498904157428</v>
      </c>
      <c r="Z726">
        <f t="shared" si="61"/>
        <v>38</v>
      </c>
      <c r="AA726">
        <f t="shared" si="59"/>
        <v>-55.335030162822861</v>
      </c>
      <c r="AB726">
        <f t="shared" si="62"/>
        <v>0.76448695437332481</v>
      </c>
    </row>
    <row r="727" spans="23:28" x14ac:dyDescent="0.3">
      <c r="W727">
        <f t="shared" si="60"/>
        <v>1.1455954702393722</v>
      </c>
      <c r="Z727">
        <f t="shared" si="61"/>
        <v>38</v>
      </c>
      <c r="AA727">
        <f t="shared" si="59"/>
        <v>-55.337075742646491</v>
      </c>
      <c r="AB727">
        <f t="shared" si="62"/>
        <v>0.7462179928210797</v>
      </c>
    </row>
    <row r="728" spans="23:28" x14ac:dyDescent="0.3">
      <c r="W728">
        <f t="shared" si="60"/>
        <v>1.1480120980280246</v>
      </c>
      <c r="Z728">
        <f t="shared" si="61"/>
        <v>38</v>
      </c>
      <c r="AA728">
        <f t="shared" si="59"/>
        <v>-55.339492370435146</v>
      </c>
      <c r="AB728">
        <f t="shared" si="62"/>
        <v>0.73027266839631366</v>
      </c>
    </row>
    <row r="729" spans="23:28" x14ac:dyDescent="0.3">
      <c r="W729">
        <f t="shared" si="60"/>
        <v>1.1521461796584274</v>
      </c>
      <c r="Z729">
        <f t="shared" si="61"/>
        <v>38</v>
      </c>
      <c r="AA729">
        <f t="shared" si="59"/>
        <v>-55.34362645206555</v>
      </c>
      <c r="AB729">
        <f t="shared" si="62"/>
        <v>0.7101552774493437</v>
      </c>
    </row>
    <row r="730" spans="23:28" x14ac:dyDescent="0.3">
      <c r="W730">
        <f t="shared" si="60"/>
        <v>1.157464405515152</v>
      </c>
      <c r="Z730">
        <f t="shared" si="61"/>
        <v>38</v>
      </c>
      <c r="AA730">
        <f t="shared" si="59"/>
        <v>-55.348944677922269</v>
      </c>
      <c r="AB730">
        <f t="shared" si="62"/>
        <v>0.69122254011085482</v>
      </c>
    </row>
    <row r="731" spans="23:28" x14ac:dyDescent="0.3">
      <c r="W731">
        <f t="shared" si="60"/>
        <v>1.167916082410517</v>
      </c>
      <c r="Z731">
        <f t="shared" si="61"/>
        <v>38</v>
      </c>
      <c r="AA731">
        <f t="shared" si="59"/>
        <v>-55.359396354817633</v>
      </c>
      <c r="AB731">
        <f t="shared" si="62"/>
        <v>0.66499411019811316</v>
      </c>
    </row>
  </sheetData>
  <hyperlinks>
    <hyperlink ref="F54" r:id="rId1"/>
    <hyperlink ref="F55" r:id="rId2"/>
    <hyperlink ref="F56" r:id="rId3"/>
    <hyperlink ref="F58" r:id="rId4"/>
  </hyperlink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E2"/>
  <sheetViews>
    <sheetView topLeftCell="A16" zoomScale="145" zoomScaleNormal="145" workbookViewId="0">
      <selection activeCell="A53" sqref="A53"/>
    </sheetView>
  </sheetViews>
  <sheetFormatPr defaultRowHeight="14.4" x14ac:dyDescent="0.3"/>
  <sheetData>
    <row r="1" spans="1:5" x14ac:dyDescent="0.3">
      <c r="A1" t="s">
        <v>114</v>
      </c>
      <c r="B1" t="s">
        <v>115</v>
      </c>
      <c r="D1" t="s">
        <v>114</v>
      </c>
      <c r="E1" t="s">
        <v>115</v>
      </c>
    </row>
    <row r="2" spans="1:5" x14ac:dyDescent="0.3">
      <c r="A2">
        <v>1</v>
      </c>
      <c r="B2">
        <v>3</v>
      </c>
      <c r="D2">
        <v>1</v>
      </c>
      <c r="E2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Excel 4.0 Macros</vt:lpstr>
      </vt:variant>
      <vt:variant>
        <vt:i4>1</vt:i4>
      </vt:variant>
    </vt:vector>
  </HeadingPairs>
  <TitlesOfParts>
    <vt:vector size="6" baseType="lpstr">
      <vt:lpstr>2 10 5 deg</vt:lpstr>
      <vt:lpstr>V_SG_3_V_SL_1</vt:lpstr>
      <vt:lpstr>V_SG_1_V_SL_1</vt:lpstr>
      <vt:lpstr>V_SG_1_V_SL_1_1cP</vt:lpstr>
      <vt:lpstr>Combined</vt:lpstr>
      <vt:lpstr>Macro2</vt:lpstr>
    </vt:vector>
  </TitlesOfParts>
  <Company>Texas Tech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Panacharoensawad, Ekarit</dc:creator>
  <cp:lastModifiedBy>arya shahdi</cp:lastModifiedBy>
  <dcterms:created xsi:type="dcterms:W3CDTF">2014-09-02T19:28:07Z</dcterms:created>
  <dcterms:modified xsi:type="dcterms:W3CDTF">2017-05-25T17:13:17Z</dcterms:modified>
</cp:coreProperties>
</file>